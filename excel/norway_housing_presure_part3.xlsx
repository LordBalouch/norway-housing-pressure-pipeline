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hidePivotFieldList="1" defaultThemeVersion="202300"/>
  <mc:AlternateContent xmlns:mc="http://schemas.openxmlformats.org/markup-compatibility/2006">
    <mc:Choice Requires="x15">
      <x15ac:absPath xmlns:x15ac="http://schemas.microsoft.com/office/spreadsheetml/2010/11/ac" url="/Users/babak/Desktop/Data-Analysis and Science/PROJECT for my portfolio/norway-housing-pressure-pipeline/excel/"/>
    </mc:Choice>
  </mc:AlternateContent>
  <xr:revisionPtr revIDLastSave="0" documentId="13_ncr:1_{126917B3-483B-5943-AC89-5FFD678C5BAB}" xr6:coauthVersionLast="47" xr6:coauthVersionMax="47" xr10:uidLastSave="{00000000-0000-0000-0000-000000000000}"/>
  <bookViews>
    <workbookView xWindow="-51200" yWindow="4240" windowWidth="51200" windowHeight="28300" activeTab="7" xr2:uid="{63DFD69D-CC3E-A84B-BE0B-396A80ADAC65}"/>
  </bookViews>
  <sheets>
    <sheet name="00_README" sheetId="1" r:id="rId1"/>
    <sheet name="Sheet1" sheetId="11" r:id="rId2"/>
    <sheet name="01_IMPORT" sheetId="10" r:id="rId3"/>
    <sheet name="02_CHECKS" sheetId="3" r:id="rId4"/>
    <sheet name="03_STATS" sheetId="4" r:id="rId5"/>
    <sheet name="04_PIVOTS" sheetId="5" r:id="rId6"/>
    <sheet name="05_Charts" sheetId="6" r:id="rId7"/>
    <sheet name="06_Dashboard" sheetId="7" r:id="rId8"/>
  </sheets>
  <definedNames>
    <definedName name="ExternalData_1" localSheetId="2" hidden="1">'01_IMPORT'!$A$1:$AC$136</definedName>
    <definedName name="Slicer_decade">#N/A</definedName>
  </definedNames>
  <calcPr calcId="191029"/>
  <pivotCaches>
    <pivotCache cacheId="19"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7" l="1"/>
  <c r="E5" i="7" s="1"/>
  <c r="AE2" i="10"/>
  <c r="AE3" i="10"/>
  <c r="AE4" i="10"/>
  <c r="AE5" i="10"/>
  <c r="AE6" i="10"/>
  <c r="AE7" i="10"/>
  <c r="AE8" i="10"/>
  <c r="AE9" i="10"/>
  <c r="AE10" i="10"/>
  <c r="AE11" i="10"/>
  <c r="AE12" i="10"/>
  <c r="AE13" i="10"/>
  <c r="AE14" i="10"/>
  <c r="AE15" i="10"/>
  <c r="AE16" i="10"/>
  <c r="AE17" i="10"/>
  <c r="AE18"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D2" i="10"/>
  <c r="AD3" i="10"/>
  <c r="AD4" i="10"/>
  <c r="AD5" i="10"/>
  <c r="AD6" i="10"/>
  <c r="AD7" i="10"/>
  <c r="AD8" i="10"/>
  <c r="AD9" i="10"/>
  <c r="AD10" i="10"/>
  <c r="AD11" i="10"/>
  <c r="AD12" i="10"/>
  <c r="AD13" i="10"/>
  <c r="AD14" i="10"/>
  <c r="AD15" i="10"/>
  <c r="AD16" i="10"/>
  <c r="AD17" i="10"/>
  <c r="AD18" i="10"/>
  <c r="AD19" i="10"/>
  <c r="AD20" i="10"/>
  <c r="AD21" i="10"/>
  <c r="AD22" i="10"/>
  <c r="AD23" i="10"/>
  <c r="AD24" i="10"/>
  <c r="AD25" i="10"/>
  <c r="AD26" i="10"/>
  <c r="AD27" i="10"/>
  <c r="AD28" i="10"/>
  <c r="AD29"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D60" i="10"/>
  <c r="AD61" i="10"/>
  <c r="AD62" i="10"/>
  <c r="AD63" i="10"/>
  <c r="AD64" i="10"/>
  <c r="AD65" i="10"/>
  <c r="AD66" i="10"/>
  <c r="AD67" i="10"/>
  <c r="AD68" i="10"/>
  <c r="AD69" i="10"/>
  <c r="AD70" i="10"/>
  <c r="AD71" i="10"/>
  <c r="AD72" i="10"/>
  <c r="AD73" i="10"/>
  <c r="AD74" i="10"/>
  <c r="AD75" i="10"/>
  <c r="AD76" i="10"/>
  <c r="AD77" i="10"/>
  <c r="AD78" i="10"/>
  <c r="AD79" i="10"/>
  <c r="AD80" i="10"/>
  <c r="AD81" i="10"/>
  <c r="AD82" i="10"/>
  <c r="AD83" i="10"/>
  <c r="AD84" i="10"/>
  <c r="AD85" i="10"/>
  <c r="AD86" i="10"/>
  <c r="AD87" i="10"/>
  <c r="AD88" i="10"/>
  <c r="AD89" i="10"/>
  <c r="AD90" i="10"/>
  <c r="AD91" i="10"/>
  <c r="AD92" i="10"/>
  <c r="AD93" i="10"/>
  <c r="AD94" i="10"/>
  <c r="AD95" i="10"/>
  <c r="AD96" i="10"/>
  <c r="AD97" i="10"/>
  <c r="AD98" i="10"/>
  <c r="AD99" i="10"/>
  <c r="AD100" i="10"/>
  <c r="AD101" i="10"/>
  <c r="AD102" i="10"/>
  <c r="AD103" i="10"/>
  <c r="AD104" i="10"/>
  <c r="AD105" i="10"/>
  <c r="AD106" i="10"/>
  <c r="AD107" i="10"/>
  <c r="AD108" i="10"/>
  <c r="AD109" i="10"/>
  <c r="AD110" i="10"/>
  <c r="AD111" i="10"/>
  <c r="AD112" i="10"/>
  <c r="AD113" i="10"/>
  <c r="AD114" i="10"/>
  <c r="AD115" i="10"/>
  <c r="AD116" i="10"/>
  <c r="AD117" i="10"/>
  <c r="AD118" i="10"/>
  <c r="AD119" i="10"/>
  <c r="AD120" i="10"/>
  <c r="AD121" i="10"/>
  <c r="AD122" i="10"/>
  <c r="AD123" i="10"/>
  <c r="AD124" i="10"/>
  <c r="AD125" i="10"/>
  <c r="AD126" i="10"/>
  <c r="AD127" i="10"/>
  <c r="AD128" i="10"/>
  <c r="AD129" i="10"/>
  <c r="AD130" i="10"/>
  <c r="AD131" i="10"/>
  <c r="AD132" i="10"/>
  <c r="AD133" i="10"/>
  <c r="AD134" i="10"/>
  <c r="AD135" i="10"/>
  <c r="AD136" i="10"/>
  <c r="I11" i="4"/>
  <c r="H11" i="4"/>
  <c r="G11" i="4"/>
  <c r="F11" i="4"/>
  <c r="E11" i="4"/>
  <c r="D11" i="4"/>
  <c r="J11" i="4" s="1"/>
  <c r="C11" i="4"/>
  <c r="B11" i="4"/>
  <c r="I10" i="4"/>
  <c r="H10" i="4"/>
  <c r="G10" i="4"/>
  <c r="F10" i="4"/>
  <c r="E10" i="4"/>
  <c r="D10" i="4"/>
  <c r="C10" i="4"/>
  <c r="B10" i="4"/>
  <c r="I9" i="4"/>
  <c r="H9" i="4"/>
  <c r="G9" i="4"/>
  <c r="F9" i="4"/>
  <c r="E9" i="4"/>
  <c r="D9" i="4"/>
  <c r="J9" i="4" s="1"/>
  <c r="C9" i="4"/>
  <c r="B9" i="4"/>
  <c r="I8" i="4"/>
  <c r="H8" i="4"/>
  <c r="G8" i="4"/>
  <c r="F8" i="4"/>
  <c r="E8" i="4"/>
  <c r="D8" i="4"/>
  <c r="J8" i="4" s="1"/>
  <c r="C8" i="4"/>
  <c r="B8" i="4"/>
  <c r="B14" i="3"/>
  <c r="B13" i="3"/>
  <c r="B16" i="3" s="1"/>
  <c r="B12" i="3"/>
  <c r="B10" i="3"/>
  <c r="B9" i="3"/>
  <c r="B8" i="3"/>
  <c r="B4" i="3"/>
  <c r="B3" i="3"/>
  <c r="B2" i="7" l="1"/>
  <c r="B5" i="7"/>
  <c r="G5" i="7"/>
  <c r="I5" i="7"/>
  <c r="L5" i="7"/>
  <c r="J10" i="4"/>
  <c r="B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3AE546-E9DE-F048-A48C-5D097CFDA26A}" keepAlive="1" name="Query - mart_housing_pressure_quarterly" description="Connection to the 'mart_housing_pressure_quarterly' query in the workbook." type="5" refreshedVersion="8" background="1" saveData="1">
    <dbPr connection="Provider=Microsoft.Mashup.OleDb.1;Data Source=$Workbook$;Location=mart_housing_pressure_quarterly;Extended Properties=&quot;&quot;" command="SELECT * FROM [mart_housing_pressure_quarterly]"/>
  </connection>
  <connection id="2" xr16:uid="{3EE4073D-9B63-1946-914B-F9DA3BAD177E}" keepAlive="1" name="Query - mart_housing_pressure_quarterly (2)" description="Connection to the 'mart_housing_pressure_quarterly (2)' query in the workbook." type="5" refreshedVersion="8" background="1" saveData="1">
    <dbPr connection="Provider=Microsoft.Mashup.OleDb.1;Data Source=$Workbook$;Location=&quot;mart_housing_pressure_quarterly (2)&quot;;Extended Properties=&quot;&quot;" command="SELECT * FROM [mart_housing_pressure_quarterly (2)]"/>
  </connection>
  <connection id="3" xr16:uid="{BFBF9217-4CE8-0B4B-9BCE-99B41FFBA6A7}" keepAlive="1" name="Query - mart_housing_pressure_quarterly (3)" description="Connection to the 'mart_housing_pressure_quarterly (3)' query in the workbook." type="5" refreshedVersion="8" background="1" saveData="1">
    <dbPr connection="Provider=Microsoft.Mashup.OleDb.1;Data Source=$Workbook$;Location=&quot;mart_housing_pressure_quarterly (3)&quot;;Extended Properties=&quot;&quot;" command="SELECT * FROM [mart_housing_pressure_quarterly (3)]"/>
  </connection>
</connections>
</file>

<file path=xl/sharedStrings.xml><?xml version="1.0" encoding="utf-8"?>
<sst xmlns="http://schemas.openxmlformats.org/spreadsheetml/2006/main" count="463" uniqueCount="276">
  <si>
    <t>boligtype_code</t>
  </si>
  <si>
    <t>quarter</t>
  </si>
  <si>
    <t>quarter_start</t>
  </si>
  <si>
    <t>hpi_index</t>
  </si>
  <si>
    <t>hpi_sa_index</t>
  </si>
  <si>
    <t>cpi_index</t>
  </si>
  <si>
    <t>cpi_method</t>
  </si>
  <si>
    <t>policy_rate_avg</t>
  </si>
  <si>
    <t>policy_rate_end</t>
  </si>
  <si>
    <t>policy_rate_min</t>
  </si>
  <si>
    <t>policy_rate_max</t>
  </si>
  <si>
    <t>policy_obs_count</t>
  </si>
  <si>
    <t>policy_change_events</t>
  </si>
  <si>
    <t>policy_delta_sum</t>
  </si>
  <si>
    <t>policy_delta_abs_sum</t>
  </si>
  <si>
    <t>hpi_index_qoq_pct_part2</t>
  </si>
  <si>
    <t>hpi_index_yoy_pct_part2</t>
  </si>
  <si>
    <t>hpi_sa_index_qoq_pct_part2</t>
  </si>
  <si>
    <t>hpi_sa_index_yoy_pct_part2</t>
  </si>
  <si>
    <t>cpi_yoy_pct_part2</t>
  </si>
  <si>
    <t>real_hpi_proxy_part2</t>
  </si>
  <si>
    <t>real_hpi_sa_proxy_part2</t>
  </si>
  <si>
    <t>hpi_qoq_pct</t>
  </si>
  <si>
    <t>hpi_yoy_pct</t>
  </si>
  <si>
    <t>hpi_sa_qoq_pct</t>
  </si>
  <si>
    <t>hpi_sa_yoy_pct</t>
  </si>
  <si>
    <t>real_hpi_proxy</t>
  </si>
  <si>
    <t>real_hpi_sa_proxy</t>
  </si>
  <si>
    <t>real_hpi_proxy_yoy_pct</t>
  </si>
  <si>
    <t>1992Q1</t>
  </si>
  <si>
    <t>annual_value_repeated_each_quarter</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</si>
  <si>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</si>
  <si>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</si>
  <si>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</si>
  <si>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</si>
  <si>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</si>
  <si>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</si>
  <si>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</si>
  <si>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</si>
  <si>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</si>
  <si>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</si>
  <si>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</si>
  <si>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</si>
  <si>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</si>
  <si>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</si>
  <si>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</si>
  <si>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</si>
  <si>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</si>
  <si>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</si>
  <si>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</si>
  <si>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</si>
  <si>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</si>
  <si>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</si>
  <si>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</si>
  <si>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</si>
  <si>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</si>
  <si>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</si>
  <si>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</si>
  <si>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</si>
  <si>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</si>
  <si>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</si>
  <si>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</si>
  <si>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</si>
  <si>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</si>
  <si>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</si>
  <si>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</si>
  <si>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</si>
  <si>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</si>
  <si>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</si>
  <si>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</si>
  <si>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</si>
  <si>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</si>
  <si>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</si>
  <si>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</si>
  <si>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</si>
  <si>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</si>
  <si>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</si>
  <si>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</si>
  <si>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</si>
  <si>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</si>
  <si>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</si>
  <si>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</si>
  <si>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</si>
  <si>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</si>
  <si>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</si>
  <si>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</si>
  <si>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</si>
  <si>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</si>
  <si>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</si>
  <si>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</si>
  <si>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</si>
  <si>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</si>
  <si>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</si>
  <si>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</si>
  <si>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</si>
  <si>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</si>
  <si>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</si>
  <si>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</si>
  <si>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</si>
  <si>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</si>
  <si>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</si>
  <si>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</si>
  <si>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</si>
  <si>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</si>
  <si>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</si>
  <si>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</si>
  <si>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</si>
  <si>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</si>
  <si>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</si>
  <si>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</si>
  <si>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</si>
  <si>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</si>
  <si>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</si>
  <si>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</si>
  <si>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</si>
  <si>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</si>
  <si>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</si>
  <si>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</si>
  <si>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</si>
  <si>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</si>
  <si>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</si>
  <si>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</si>
  <si>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</si>
  <si>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</si>
  <si>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</si>
  <si>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</si>
  <si>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</si>
  <si>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</si>
  <si>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</si>
  <si>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</si>
  <si>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</si>
  <si>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</si>
  <si>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</si>
  <si>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</si>
  <si>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</si>
  <si>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</si>
  <si>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</si>
  <si>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</si>
  <si>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</si>
  <si>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</si>
  <si>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</si>
  <si>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</si>
  <si>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</si>
  <si>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</si>
  <si>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</si>
  <si>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</si>
  <si>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</si>
  <si>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</si>
  <si>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</si>
  <si>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</si>
  <si>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</si>
  <si>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</si>
  <si>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</si>
  <si>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</si>
  <si>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</si>
  <si>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</si>
  <si>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</si>
  <si>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</si>
  <si>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</si>
  <si>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</si>
  <si>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</si>
  <si>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</si>
  <si>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</si>
  <si>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</si>
  <si>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</si>
  <si>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Norway Housing Pressure Tracker (1992–present) — Excel (Part 3)</t>
  </si>
  <si>
    <r>
      <t>Workbook:</t>
    </r>
    <r>
      <rPr>
        <sz val="12"/>
        <color theme="1"/>
        <rFont val="Aptos Narrow"/>
        <family val="2"/>
        <scheme val="minor"/>
      </rPr>
      <t xml:space="preserve"> </t>
    </r>
    <r>
      <rPr>
        <sz val="10"/>
        <color theme="1"/>
        <rFont val="Arial Unicode MS"/>
        <family val="2"/>
      </rPr>
      <t>excel/norway_housing_pressure_part3.xlsx</t>
    </r>
  </si>
  <si>
    <t>Data source used</t>
  </si>
  <si>
    <r>
      <t xml:space="preserve">Primary: </t>
    </r>
    <r>
      <rPr>
        <sz val="10"/>
        <color theme="1"/>
        <rFont val="Arial Unicode MS"/>
        <family val="2"/>
      </rPr>
      <t>data/processed/mart_housing_pressure_quarterly.csv</t>
    </r>
    <r>
      <rPr>
        <sz val="12"/>
        <color theme="1"/>
        <rFont val="Aptos Narrow"/>
        <family val="2"/>
        <scheme val="minor"/>
      </rPr>
      <t xml:space="preserve"> (exported from DuckDB SQL mart)</t>
    </r>
  </si>
  <si>
    <r>
      <t xml:space="preserve">DuckDB database: </t>
    </r>
    <r>
      <rPr>
        <sz val="10"/>
        <color theme="1"/>
        <rFont val="Arial Unicode MS"/>
        <family val="2"/>
      </rPr>
      <t>data/processed/project.duckdb</t>
    </r>
  </si>
  <si>
    <t>Grain / primary key</t>
  </si>
  <si>
    <r>
      <t>One row per (</t>
    </r>
    <r>
      <rPr>
        <sz val="10"/>
        <color theme="1"/>
        <rFont val="Arial Unicode MS"/>
        <family val="2"/>
      </rPr>
      <t>boligtype_code</t>
    </r>
    <r>
      <rPr>
        <sz val="12"/>
        <color theme="1"/>
        <rFont val="Aptos Narrow"/>
        <family val="2"/>
        <scheme val="minor"/>
      </rPr>
      <t xml:space="preserve">, </t>
    </r>
    <r>
      <rPr>
        <sz val="10"/>
        <color theme="1"/>
        <rFont val="Arial Unicode MS"/>
        <family val="2"/>
      </rPr>
      <t>quarter</t>
    </r>
    <r>
      <rPr>
        <sz val="12"/>
        <color theme="1"/>
        <rFont val="Aptos Narrow"/>
        <family val="2"/>
        <scheme val="minor"/>
      </rPr>
      <t>)</t>
    </r>
  </si>
  <si>
    <r>
      <t>quarter_start</t>
    </r>
    <r>
      <rPr>
        <sz val="12"/>
        <color theme="1"/>
        <rFont val="Aptos Narrow"/>
        <family val="2"/>
        <scheme val="minor"/>
      </rPr>
      <t xml:space="preserve"> is the quarter start date</t>
    </r>
  </si>
  <si>
    <t>Key fields (selected)</t>
  </si>
  <si>
    <r>
      <t xml:space="preserve">HPI: </t>
    </r>
    <r>
      <rPr>
        <sz val="10"/>
        <color theme="1"/>
        <rFont val="Arial Unicode MS"/>
        <family val="2"/>
      </rPr>
      <t>hpi_index</t>
    </r>
    <r>
      <rPr>
        <sz val="12"/>
        <color theme="1"/>
        <rFont val="Aptos Narrow"/>
        <family val="2"/>
        <scheme val="minor"/>
      </rPr>
      <t xml:space="preserve">, </t>
    </r>
    <r>
      <rPr>
        <sz val="10"/>
        <color theme="1"/>
        <rFont val="Arial Unicode MS"/>
        <family val="2"/>
      </rPr>
      <t>hpi_qoq_pct</t>
    </r>
    <r>
      <rPr>
        <sz val="12"/>
        <color theme="1"/>
        <rFont val="Aptos Narrow"/>
        <family val="2"/>
        <scheme val="minor"/>
      </rPr>
      <t xml:space="preserve">, </t>
    </r>
    <r>
      <rPr>
        <sz val="10"/>
        <color theme="1"/>
        <rFont val="Arial Unicode MS"/>
        <family val="2"/>
      </rPr>
      <t>hpi_yoy_pct</t>
    </r>
  </si>
  <si>
    <r>
      <t xml:space="preserve">Seasonal adjustment (if available): </t>
    </r>
    <r>
      <rPr>
        <sz val="10"/>
        <color theme="1"/>
        <rFont val="Arial Unicode MS"/>
        <family val="2"/>
      </rPr>
      <t>hpi_sa_index</t>
    </r>
    <r>
      <rPr>
        <sz val="12"/>
        <color theme="1"/>
        <rFont val="Aptos Narrow"/>
        <family val="2"/>
        <scheme val="minor"/>
      </rPr>
      <t xml:space="preserve">, </t>
    </r>
    <r>
      <rPr>
        <sz val="10"/>
        <color theme="1"/>
        <rFont val="Arial Unicode MS"/>
        <family val="2"/>
      </rPr>
      <t>hpi_sa_qoq_pct</t>
    </r>
    <r>
      <rPr>
        <sz val="12"/>
        <color theme="1"/>
        <rFont val="Aptos Narrow"/>
        <family val="2"/>
        <scheme val="minor"/>
      </rPr>
      <t xml:space="preserve">, </t>
    </r>
    <r>
      <rPr>
        <sz val="10"/>
        <color theme="1"/>
        <rFont val="Arial Unicode MS"/>
        <family val="2"/>
      </rPr>
      <t>hpi_sa_yoy_pct</t>
    </r>
  </si>
  <si>
    <r>
      <t xml:space="preserve">CPI: </t>
    </r>
    <r>
      <rPr>
        <sz val="10"/>
        <color theme="1"/>
        <rFont val="Arial Unicode MS"/>
        <family val="2"/>
      </rPr>
      <t>cpi_index</t>
    </r>
    <r>
      <rPr>
        <sz val="12"/>
        <color theme="1"/>
        <rFont val="Aptos Narrow"/>
        <family val="2"/>
        <scheme val="minor"/>
      </rPr>
      <t xml:space="preserve"> (used only for proxy “real” measures)</t>
    </r>
  </si>
  <si>
    <r>
      <t xml:space="preserve">Policy rate (quarterly aggregates): </t>
    </r>
    <r>
      <rPr>
        <sz val="10"/>
        <color theme="1"/>
        <rFont val="Arial Unicode MS"/>
        <family val="2"/>
      </rPr>
      <t>policy_rate_avg</t>
    </r>
    <r>
      <rPr>
        <sz val="12"/>
        <color theme="1"/>
        <rFont val="Aptos Narrow"/>
        <family val="2"/>
        <scheme val="minor"/>
      </rPr>
      <t xml:space="preserve">, </t>
    </r>
    <r>
      <rPr>
        <sz val="10"/>
        <color theme="1"/>
        <rFont val="Arial Unicode MS"/>
        <family val="2"/>
      </rPr>
      <t>policy_rate_end</t>
    </r>
  </si>
  <si>
    <t>Important caveats</t>
  </si>
  <si>
    <t>CPI is an annual value repeated each quarter (proxy only; not true quarterly inflation).</t>
  </si>
  <si>
    <r>
      <t xml:space="preserve">CPI is missing for 2025Q1–2025Q3, so </t>
    </r>
    <r>
      <rPr>
        <sz val="10"/>
        <color theme="1"/>
        <rFont val="Arial Unicode MS"/>
        <family val="2"/>
      </rPr>
      <t>real_hpi_proxy</t>
    </r>
    <r>
      <rPr>
        <sz val="12"/>
        <color theme="1"/>
        <rFont val="Aptos Narrow"/>
        <family val="2"/>
        <scheme val="minor"/>
      </rPr>
      <t xml:space="preserve"> is blank for those quarters.</t>
    </r>
  </si>
  <si>
    <t>Seasonal adjustment fields are missing for early periods.</t>
  </si>
  <si>
    <t>How to refresh</t>
  </si>
  <si>
    <t>Rebuild/export the mart (terminal, from project root):</t>
  </si>
  <si>
    <t>python src/03_run_duckdb_sql.py</t>
  </si>
  <si>
    <t>In Excel: Data → Refresh All</t>
  </si>
  <si>
    <t>Sheets</t>
  </si>
  <si>
    <r>
      <t>01_IMPORT</t>
    </r>
    <r>
      <rPr>
        <sz val="12"/>
        <color theme="1"/>
        <rFont val="Aptos Narrow"/>
        <family val="2"/>
        <scheme val="minor"/>
      </rPr>
      <t>: imported mart table (</t>
    </r>
    <r>
      <rPr>
        <sz val="10"/>
        <color theme="1"/>
        <rFont val="Arial Unicode MS"/>
        <family val="2"/>
      </rPr>
      <t>tbl_mart</t>
    </r>
    <r>
      <rPr>
        <sz val="12"/>
        <color theme="1"/>
        <rFont val="Aptos Narrow"/>
        <family val="2"/>
        <scheme val="minor"/>
      </rPr>
      <t>)</t>
    </r>
  </si>
  <si>
    <r>
      <t>02_CHECKS</t>
    </r>
    <r>
      <rPr>
        <sz val="12"/>
        <color theme="1"/>
        <rFont val="Aptos Narrow"/>
        <family val="2"/>
        <scheme val="minor"/>
      </rPr>
      <t>: data-quality checks</t>
    </r>
  </si>
  <si>
    <r>
      <t>03_STATS</t>
    </r>
    <r>
      <rPr>
        <sz val="12"/>
        <color theme="1"/>
        <rFont val="Aptos Narrow"/>
        <family val="2"/>
        <scheme val="minor"/>
      </rPr>
      <t>: descriptive stats</t>
    </r>
  </si>
  <si>
    <r>
      <t>04_PIVOTS</t>
    </r>
    <r>
      <rPr>
        <sz val="12"/>
        <color theme="1"/>
        <rFont val="Aptos Narrow"/>
        <family val="2"/>
        <scheme val="minor"/>
      </rPr>
      <t>: pivot tables + slicers</t>
    </r>
  </si>
  <si>
    <r>
      <t>05_CHARTS</t>
    </r>
    <r>
      <rPr>
        <sz val="12"/>
        <color theme="1"/>
        <rFont val="Aptos Narrow"/>
        <family val="2"/>
        <scheme val="minor"/>
      </rPr>
      <t>: charts built from pivots</t>
    </r>
  </si>
  <si>
    <r>
      <t>06_DASHBOARD</t>
    </r>
    <r>
      <rPr>
        <sz val="12"/>
        <color theme="1"/>
        <rFont val="Aptos Narrow"/>
        <family val="2"/>
        <scheme val="minor"/>
      </rPr>
      <t>: KPI cards + charts</t>
    </r>
  </si>
  <si>
    <t>key_boligtype_quarter</t>
  </si>
  <si>
    <t>Check</t>
  </si>
  <si>
    <t>Value</t>
  </si>
  <si>
    <t>Rows in tbl_mart</t>
  </si>
  <si>
    <t>Columns in tbl_mart</t>
  </si>
  <si>
    <t>Duplicate keys (boligtype_code|quarter)</t>
  </si>
  <si>
    <t>Missing quarter_start</t>
  </si>
  <si>
    <t>Missing hpi_index</t>
  </si>
  <si>
    <t>Missing cpi_index (expected 3)</t>
  </si>
  <si>
    <t>Min quarter_start</t>
  </si>
  <si>
    <t>Max quarter_start</t>
  </si>
  <si>
    <t>Distinct quarters</t>
  </si>
  <si>
    <t>Latest quarter (text)</t>
  </si>
  <si>
    <t>Metric</t>
  </si>
  <si>
    <t>Series</t>
  </si>
  <si>
    <t>Count</t>
  </si>
  <si>
    <t>Mean</t>
  </si>
  <si>
    <t>Std Dev</t>
  </si>
  <si>
    <t>Min</t>
  </si>
  <si>
    <t>Median</t>
  </si>
  <si>
    <t>Max</t>
  </si>
  <si>
    <t>Q1 (25%)</t>
  </si>
  <si>
    <t>Q3 (75%)</t>
  </si>
  <si>
    <t>If.Error</t>
  </si>
  <si>
    <t>Note: Growth metrics are in percentage points (e.g., 5.52 = 5.52%). CPI-based real proxies are missing for 2025Q1–2025Q3 due to missing CPI</t>
  </si>
  <si>
    <t>Row Labels</t>
  </si>
  <si>
    <t>Grand Total</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</si>
  <si>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</si>
  <si>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</si>
  <si>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</si>
  <si>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</si>
  <si>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</si>
  <si>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</si>
  <si>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</si>
  <si>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</si>
  <si>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</si>
  <si>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</si>
  <si>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</si>
  <si>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</si>
  <si>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</si>
  <si>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</si>
  <si>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</si>
  <si>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</si>
  <si>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</si>
  <si>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</si>
  <si>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</si>
  <si>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</si>
  <si>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</si>
  <si>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</si>
  <si>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</si>
  <si>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</si>
  <si>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</si>
  <si>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</si>
  <si>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</si>
  <si>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</si>
  <si>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</si>
  <si>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</si>
  <si>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</si>
  <si>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</si>
  <si>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</si>
  <si>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</si>
  <si>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Average of hpi_index</t>
  </si>
  <si>
    <t>(All)</t>
  </si>
  <si>
    <t>Average of hpi_sa_index</t>
  </si>
  <si>
    <t>PIVOT 1</t>
  </si>
  <si>
    <t>PIVOT 2</t>
  </si>
  <si>
    <t>Average of hpi_yoy_pct</t>
  </si>
  <si>
    <t>Average of hpi_qoq_pct</t>
  </si>
  <si>
    <t>TREND(HPI index over time)</t>
  </si>
  <si>
    <t>Growth (YoY and QoQ over time)</t>
  </si>
  <si>
    <t>Volatility ranking (overal QoQ volatility)</t>
  </si>
  <si>
    <t>StdDev of hpi_qoq_pct</t>
  </si>
  <si>
    <t>PIVOT 3A</t>
  </si>
  <si>
    <t>PIVOT 3B</t>
  </si>
  <si>
    <t>decade</t>
  </si>
  <si>
    <t>StdDev of hpi_yoy_pct</t>
  </si>
  <si>
    <t>Latest quarter_starter</t>
  </si>
  <si>
    <t>Latest quarter</t>
  </si>
  <si>
    <t>HPI Index (latest)</t>
  </si>
  <si>
    <t>HPI QoQ (latest)</t>
  </si>
  <si>
    <t>Policy rate end (latest)</t>
  </si>
  <si>
    <t>CPI status (latest)</t>
  </si>
  <si>
    <t>HPI YoY (Latest)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</si>
</sst>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9" x14ac:knownFonts="1">
    <font>
      <sz val="12"/>
      <color theme="1"/>
      <name val="Aptos Narrow"/>
      <family val="2"/>
      <scheme val="minor"/>
    </font>
    <font>
      <b/>
      <sz val="12"/>
      <color theme="1"/>
      <name val="Aptos Narrow"/>
      <family val="2"/>
      <scheme val="minor"/>
    </font>
    <font>
      <sz val="10"/>
      <color theme="1"/>
      <name val="Arial Unicode MS"/>
      <family val="2"/>
    </font>
    <font>
      <b/>
      <sz val="12"/>
      <color rgb="FFFF0000"/>
      <name val="Aptos Narrow"/>
      <scheme val="minor"/>
    </font>
    <font>
      <b/>
      <sz val="12"/>
      <color theme="1"/>
      <name val="Aptos Narrow"/>
      <scheme val="minor"/>
    </font>
    <font>
      <sz val="12"/>
      <color theme="1"/>
      <name val="Aptos Narrow"/>
      <family val="2"/>
      <scheme val="minor"/>
    </font>
    <font>
      <sz val="22"/>
      <color theme="1"/>
      <name val="Aptos Narrow"/>
      <family val="2"/>
      <scheme val="minor"/>
    </font>
    <font>
      <sz val="20"/>
      <color theme="1"/>
      <name val="Aptos Narrow"/>
      <family val="2"/>
      <scheme val="minor"/>
    </font>
    <font>
      <b/>
      <sz val="22"/>
      <color theme="1"/>
      <name val="Aptos Narrow"/>
      <scheme val="minor"/>
    </font>
  </fonts>
  <fills count="4">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s>
  <borders count="5">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s>
  <cellStyleXfs count="2">
    <xf numFmtId="0" fontId="0" fillId="0" borderId="0"/>
    <xf numFmtId="9" fontId="5" fillId="0" borderId="0" applyFont="0" applyFill="0" applyBorder="0" applyAlignment="0" applyProtection="0"/>
  </cellStyleXfs>
  <cellXfs count="23">
    <xf numFmtId="0" fontId="0" fillId="0" borderId="0" xfId="0"/>
    <xf numFmtId="14" fontId="0" fillId="0" borderId="0" xfId="0" applyNumberFormat="1"/>
    <xf numFmtId="2" fontId="0" fillId="0" borderId="0" xfId="0" applyNumberFormat="1"/>
    <xf numFmtId="0" fontId="1" fillId="0" borderId="0" xfId="0" applyFont="1"/>
    <xf numFmtId="0" fontId="2" fillId="0" borderId="0" xfId="0" applyFont="1"/>
    <xf numFmtId="0" fontId="0" fillId="0" borderId="0" xfId="0" pivotButton="1"/>
    <xf numFmtId="0" fontId="0" fillId="0" borderId="0" xfId="0" applyAlignment="1">
      <alignment horizontal="left"/>
    </xf>
    <xf numFmtId="0" fontId="3" fillId="0" borderId="0" xfId="0" applyFont="1"/>
    <xf numFmtId="0" fontId="4" fillId="0" borderId="0" xfId="0" applyFont="1"/>
    <xf numFmtId="1" fontId="0" fillId="0" borderId="0" xfId="0" applyNumberFormat="1"/>
    <xf numFmtId="1" fontId="0" fillId="0" borderId="0" xfId="0" quotePrefix="1" applyNumberFormat="1"/>
    <xf numFmtId="0" fontId="0" fillId="0" borderId="0" xfId="0" applyNumberFormat="1"/>
    <xf numFmtId="1" fontId="0" fillId="0" borderId="0" xfId="0" applyNumberFormat="1" applyAlignment="1">
      <alignment horizontal="left"/>
    </xf>
    <xf numFmtId="0" fontId="4" fillId="2" borderId="1" xfId="0" applyFont="1" applyFill="1" applyBorder="1" applyAlignment="1">
      <alignment horizontal="right"/>
    </xf>
    <xf numFmtId="0" fontId="4" fillId="2" borderId="2" xfId="0" applyFont="1" applyFill="1" applyBorder="1" applyAlignment="1">
      <alignment horizontal="left"/>
    </xf>
    <xf numFmtId="0" fontId="4" fillId="3" borderId="3" xfId="0" applyFont="1" applyFill="1" applyBorder="1" applyAlignment="1">
      <alignment horizontal="right"/>
    </xf>
    <xf numFmtId="0" fontId="4" fillId="3" borderId="4" xfId="0" applyFont="1" applyFill="1" applyBorder="1" applyAlignment="1">
      <alignment horizontal="left"/>
    </xf>
    <xf numFmtId="0" fontId="6" fillId="0" borderId="0" xfId="0" applyFont="1"/>
    <xf numFmtId="10" fontId="7" fillId="0" borderId="0" xfId="1" applyNumberFormat="1" applyFont="1"/>
    <xf numFmtId="0" fontId="8" fillId="0" borderId="0" xfId="0" applyFont="1"/>
    <xf numFmtId="165" fontId="7" fillId="0" borderId="0" xfId="0" applyNumberFormat="1" applyFont="1"/>
    <xf numFmtId="0" fontId="7" fillId="0" borderId="0" xfId="0" applyFont="1"/>
    <xf numFmtId="2" fontId="7" fillId="0" borderId="0" xfId="0" applyNumberFormat="1" applyFont="1"/>
  </cellXfs>
  <cellStyles count="2">
    <cellStyle name="Normal" xfId="0" builtinId="0"/>
    <cellStyle name="Percent" xfId="1" builtinId="5"/>
  </cellStyles>
  <dxfs count="5">
    <dxf>
      <numFmt numFmtId="1" formatCode="0"/>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[norway_housing_presure_part3.xlsx]04_PIVOTS!PivotTable1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HPI</a:t>
            </a:r>
            <a:r>
              <a:rPr lang="en-US" baseline="0"/>
              <a:t> Index (Average) -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O"/>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'04_PIVOTS'!$B$7</c:f>
              <c:strCache>
                <c:ptCount val="1"/>
                <c:pt idx="0">
                  <c:v>Average of hpi_index</c:v>
                </c:pt>
              </c:strCache>
            </c:strRef>
          </c:tx>
          <c:spPr>
            <a:ln w="28575" cap="rnd">
              <a:solidFill>
                <a:schemeClr val="accent1"/>
              </a:solidFill>
              <a:round/>
            </a:ln>
            <a:effectLst/>
          </c:spPr>
          <c:marker>
            <c:symbol val="none"/>
          </c:marker>
          <c:cat>
            <c:strRef>
              <c:f>'04_PIVOTS'!$A$8:$A$42</c:f>
              <c:strCache>
                <c:ptCount val="3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c:v>2025</c:v>
                </c:pt>
              </c:strCache>
            </c:strRef>
          </c:cat>
          <c:val>
            <c:numRef>
              <c:f>'04_PIVOTS'!$B$8:$B$42</c:f>
              <c:numCache>
                <c:formatCode>General</c:formatCode>
                <c:ptCount val="34"/>
                <c:pt idx="0">
                  <c:v>18.8</c:v>
                </c:pt>
                <c:pt idx="1">
                  <c:v>18.975000000000001</c:v>
                </c:pt>
                <c:pt idx="2">
                  <c:v>21.475000000000001</c:v>
                </c:pt>
                <c:pt idx="3">
                  <c:v>23.05</c:v>
                </c:pt>
                <c:pt idx="4">
                  <c:v>25.125</c:v>
                </c:pt>
                <c:pt idx="5">
                  <c:v>28.125</c:v>
                </c:pt>
                <c:pt idx="6">
                  <c:v>31.25</c:v>
                </c:pt>
                <c:pt idx="7">
                  <c:v>34.725000000000009</c:v>
                </c:pt>
                <c:pt idx="8">
                  <c:v>40.25</c:v>
                </c:pt>
                <c:pt idx="9">
                  <c:v>43.024999999999999</c:v>
                </c:pt>
                <c:pt idx="10">
                  <c:v>45.174999999999997</c:v>
                </c:pt>
                <c:pt idx="11">
                  <c:v>45.925000000000004</c:v>
                </c:pt>
                <c:pt idx="12">
                  <c:v>50.600000000000009</c:v>
                </c:pt>
                <c:pt idx="13">
                  <c:v>54.774999999999999</c:v>
                </c:pt>
                <c:pt idx="14">
                  <c:v>62.274999999999999</c:v>
                </c:pt>
                <c:pt idx="15">
                  <c:v>70.099999999999994</c:v>
                </c:pt>
                <c:pt idx="16">
                  <c:v>69.349999999999994</c:v>
                </c:pt>
                <c:pt idx="17">
                  <c:v>70.674999999999997</c:v>
                </c:pt>
                <c:pt idx="18">
                  <c:v>76.474999999999994</c:v>
                </c:pt>
                <c:pt idx="19">
                  <c:v>82.6</c:v>
                </c:pt>
                <c:pt idx="20">
                  <c:v>88.2</c:v>
                </c:pt>
                <c:pt idx="21">
                  <c:v>91.75</c:v>
                </c:pt>
                <c:pt idx="22">
                  <c:v>94.25</c:v>
                </c:pt>
                <c:pt idx="23">
                  <c:v>100</c:v>
                </c:pt>
                <c:pt idx="24">
                  <c:v>107.02500000000001</c:v>
                </c:pt>
                <c:pt idx="25">
                  <c:v>112.35</c:v>
                </c:pt>
                <c:pt idx="26">
                  <c:v>113.97499999999999</c:v>
                </c:pt>
                <c:pt idx="27">
                  <c:v>116.80000000000001</c:v>
                </c:pt>
                <c:pt idx="28">
                  <c:v>121.77500000000001</c:v>
                </c:pt>
                <c:pt idx="29">
                  <c:v>134.52500000000001</c:v>
                </c:pt>
                <c:pt idx="30">
                  <c:v>141.57499999999999</c:v>
                </c:pt>
                <c:pt idx="31">
                  <c:v>140.80000000000001</c:v>
                </c:pt>
                <c:pt idx="32">
                  <c:v>144.57499999999999</c:v>
                </c:pt>
                <c:pt idx="33">
                  <c:v>152.83333333333334</c:v>
                </c:pt>
              </c:numCache>
            </c:numRef>
          </c:val>
          <c:smooth val="0"/>
          <c:extLst>
            <c:ext xmlns:c16="http://schemas.microsoft.com/office/drawing/2014/chart" uri="{C3380CC4-5D6E-409C-BE32-E72D297353CC}">
              <c16:uniqueId val="{00000000-C2DC-014F-A27E-9A3116A1B233}"/>
            </c:ext>
          </c:extLst>
        </c:ser>
        <c:ser>
          <c:idx val="1"/>
          <c:order val="1"/>
          <c:tx>
            <c:strRef>
              <c:f>'04_PIVOTS'!$C$7</c:f>
              <c:strCache>
                <c:ptCount val="1"/>
                <c:pt idx="0">
                  <c:v>Average of hpi_sa_index</c:v>
                </c:pt>
              </c:strCache>
            </c:strRef>
          </c:tx>
          <c:spPr>
            <a:ln w="28575" cap="rnd">
              <a:solidFill>
                <a:schemeClr val="accent2"/>
              </a:solidFill>
              <a:round/>
            </a:ln>
            <a:effectLst/>
          </c:spPr>
          <c:marker>
            <c:symbol val="none"/>
          </c:marker>
          <c:cat>
            <c:strRef>
              <c:f>'04_PIVOTS'!$A$8:$A$42</c:f>
              <c:strCache>
                <c:ptCount val="3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c:v>2025</c:v>
                </c:pt>
              </c:strCache>
            </c:strRef>
          </c:cat>
          <c:val>
            <c:numRef>
              <c:f>'04_PIVOTS'!$C$8:$C$42</c:f>
              <c:numCache>
                <c:formatCode>General</c:formatCode>
                <c:ptCount val="34"/>
                <c:pt idx="13">
                  <c:v>54.8</c:v>
                </c:pt>
                <c:pt idx="14">
                  <c:v>62.274999999999999</c:v>
                </c:pt>
                <c:pt idx="15">
                  <c:v>70.099999999999994</c:v>
                </c:pt>
                <c:pt idx="16">
                  <c:v>69.325000000000003</c:v>
                </c:pt>
                <c:pt idx="17">
                  <c:v>70.674999999999997</c:v>
                </c:pt>
                <c:pt idx="18">
                  <c:v>76.5</c:v>
                </c:pt>
                <c:pt idx="19">
                  <c:v>82.600000000000009</c:v>
                </c:pt>
                <c:pt idx="20">
                  <c:v>88.174999999999997</c:v>
                </c:pt>
                <c:pt idx="21">
                  <c:v>91.724999999999994</c:v>
                </c:pt>
                <c:pt idx="22">
                  <c:v>94.275000000000006</c:v>
                </c:pt>
                <c:pt idx="23">
                  <c:v>100</c:v>
                </c:pt>
                <c:pt idx="24">
                  <c:v>107.07499999999999</c:v>
                </c:pt>
                <c:pt idx="25">
                  <c:v>112.375</c:v>
                </c:pt>
                <c:pt idx="26">
                  <c:v>113.97499999999999</c:v>
                </c:pt>
                <c:pt idx="27">
                  <c:v>116.82499999999999</c:v>
                </c:pt>
                <c:pt idx="28">
                  <c:v>121.85</c:v>
                </c:pt>
                <c:pt idx="29">
                  <c:v>134.57499999999999</c:v>
                </c:pt>
                <c:pt idx="30">
                  <c:v>141.625</c:v>
                </c:pt>
                <c:pt idx="31">
                  <c:v>140.80000000000001</c:v>
                </c:pt>
                <c:pt idx="32">
                  <c:v>144.57499999999999</c:v>
                </c:pt>
                <c:pt idx="33">
                  <c:v>151.36666666666667</c:v>
                </c:pt>
              </c:numCache>
            </c:numRef>
          </c:val>
          <c:smooth val="0"/>
          <c:extLst>
            <c:ext xmlns:c16="http://schemas.microsoft.com/office/drawing/2014/chart" uri="{C3380CC4-5D6E-409C-BE32-E72D297353CC}">
              <c16:uniqueId val="{00000001-C2DC-014F-A27E-9A3116A1B233}"/>
            </c:ext>
          </c:extLst>
        </c:ser>
        <c:dLbls>
          <c:showLegendKey val="0"/>
          <c:showVal val="0"/>
          <c:showCatName val="0"/>
          <c:showSerName val="0"/>
          <c:showPercent val="0"/>
          <c:showBubbleSize val="0"/>
        </c:dLbls>
        <c:smooth val="0"/>
        <c:axId val="1642537472"/>
        <c:axId val="1642539184"/>
      </c:lineChart>
      <c:catAx>
        <c:axId val="164253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crossAx val="1642539184"/>
        <c:crosses val="autoZero"/>
        <c:auto val="1"/>
        <c:lblAlgn val="ctr"/>
        <c:lblOffset val="100"/>
        <c:noMultiLvlLbl val="0"/>
      </c:catAx>
      <c:valAx>
        <c:axId val="164253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crossAx val="164253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[norway_housing_presure_part3.xlsx]04_PIVOTS!PivotTable2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HPI</a:t>
            </a:r>
            <a:r>
              <a:rPr lang="en-US" baseline="0"/>
              <a:t> Growth - YoY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O"/>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'04_PIVOTS'!$G$7</c:f>
              <c:strCache>
                <c:ptCount val="1"/>
                <c:pt idx="0">
                  <c:v>Average of hpi_yoy_pct</c:v>
                </c:pt>
              </c:strCache>
            </c:strRef>
          </c:tx>
          <c:spPr>
            <a:ln w="28575" cap="rnd">
              <a:solidFill>
                <a:schemeClr val="accent1"/>
              </a:solidFill>
              <a:round/>
            </a:ln>
            <a:effectLst/>
          </c:spPr>
          <c:marker>
            <c:symbol val="none"/>
          </c:marker>
          <c:cat>
            <c:strRef>
              <c:f>'04_PIVOTS'!$F$8:$F$42</c:f>
              <c:strCache>
                <c:ptCount val="3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c:v>2025</c:v>
                </c:pt>
              </c:strCache>
            </c:strRef>
          </c:cat>
          <c:val>
            <c:numRef>
              <c:f>'04_PIVOTS'!$G$8:$G$42</c:f>
              <c:numCache>
                <c:formatCode>General</c:formatCode>
                <c:ptCount val="34"/>
                <c:pt idx="1">
                  <c:v>0.95900531790789034</c:v>
                </c:pt>
                <c:pt idx="2">
                  <c:v>13.25421170226671</c:v>
                </c:pt>
                <c:pt idx="3">
                  <c:v>7.3454362760608181</c:v>
                </c:pt>
                <c:pt idx="4">
                  <c:v>8.9853474517108847</c:v>
                </c:pt>
                <c:pt idx="5">
                  <c:v>11.936658736018817</c:v>
                </c:pt>
                <c:pt idx="6">
                  <c:v>11.182742122942535</c:v>
                </c:pt>
                <c:pt idx="7">
                  <c:v>11.120515114048763</c:v>
                </c:pt>
                <c:pt idx="8">
                  <c:v>16.107853656144517</c:v>
                </c:pt>
                <c:pt idx="9">
                  <c:v>6.9124937238988933</c:v>
                </c:pt>
                <c:pt idx="10">
                  <c:v>5.0210217968958633</c:v>
                </c:pt>
                <c:pt idx="11">
                  <c:v>1.6871142153160046</c:v>
                </c:pt>
                <c:pt idx="12">
                  <c:v>10.177303128957398</c:v>
                </c:pt>
                <c:pt idx="13">
                  <c:v>8.2473397674087732</c:v>
                </c:pt>
                <c:pt idx="14">
                  <c:v>13.659221136921445</c:v>
                </c:pt>
                <c:pt idx="15">
                  <c:v>12.676523101862857</c:v>
                </c:pt>
                <c:pt idx="16">
                  <c:v>-1.0620672717678636</c:v>
                </c:pt>
                <c:pt idx="17">
                  <c:v>2.1489697991296239</c:v>
                </c:pt>
                <c:pt idx="18">
                  <c:v>8.2520573373685231</c:v>
                </c:pt>
                <c:pt idx="19">
                  <c:v>8.0133623313377527</c:v>
                </c:pt>
                <c:pt idx="20">
                  <c:v>6.7762738233204107</c:v>
                </c:pt>
                <c:pt idx="21">
                  <c:v>4.0431168688151278</c:v>
                </c:pt>
                <c:pt idx="22">
                  <c:v>2.7476837000316445</c:v>
                </c:pt>
                <c:pt idx="23">
                  <c:v>6.1092347197454888</c:v>
                </c:pt>
                <c:pt idx="24">
                  <c:v>7.0247097985535358</c:v>
                </c:pt>
                <c:pt idx="25">
                  <c:v>5.0585569877131036</c:v>
                </c:pt>
                <c:pt idx="26">
                  <c:v>1.4564531766658284</c:v>
                </c:pt>
                <c:pt idx="27">
                  <c:v>2.4843791875199752</c:v>
                </c:pt>
                <c:pt idx="28">
                  <c:v>4.2678542841137812</c:v>
                </c:pt>
                <c:pt idx="29">
                  <c:v>10.486855644760224</c:v>
                </c:pt>
                <c:pt idx="30">
                  <c:v>5.2478659020716805</c:v>
                </c:pt>
                <c:pt idx="31">
                  <c:v>-0.54857740503661268</c:v>
                </c:pt>
                <c:pt idx="32">
                  <c:v>2.7051269168152983</c:v>
                </c:pt>
                <c:pt idx="33">
                  <c:v>5.3440796851311463</c:v>
                </c:pt>
              </c:numCache>
            </c:numRef>
          </c:val>
          <c:smooth val="0"/>
          <c:extLst>
            <c:ext xmlns:c16="http://schemas.microsoft.com/office/drawing/2014/chart" uri="{C3380CC4-5D6E-409C-BE32-E72D297353CC}">
              <c16:uniqueId val="{00000000-A306-5F43-9DF2-B41EBE5225C2}"/>
            </c:ext>
          </c:extLst>
        </c:ser>
        <c:ser>
          <c:idx val="1"/>
          <c:order val="1"/>
          <c:tx>
            <c:strRef>
              <c:f>'04_PIVOTS'!$H$7</c:f>
              <c:strCache>
                <c:ptCount val="1"/>
                <c:pt idx="0">
                  <c:v>Average of hpi_qoq_pct</c:v>
                </c:pt>
              </c:strCache>
            </c:strRef>
          </c:tx>
          <c:spPr>
            <a:ln w="28575" cap="rnd">
              <a:solidFill>
                <a:schemeClr val="accent2"/>
              </a:solidFill>
              <a:round/>
            </a:ln>
            <a:effectLst/>
          </c:spPr>
          <c:marker>
            <c:symbol val="none"/>
          </c:marker>
          <c:cat>
            <c:strRef>
              <c:f>'04_PIVOTS'!$F$8:$F$42</c:f>
              <c:strCache>
                <c:ptCount val="3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c:v>2025</c:v>
                </c:pt>
              </c:strCache>
            </c:strRef>
          </c:cat>
          <c:val>
            <c:numRef>
              <c:f>'04_PIVOTS'!$H$8:$H$42</c:f>
              <c:numCache>
                <c:formatCode>General</c:formatCode>
                <c:ptCount val="34"/>
                <c:pt idx="0">
                  <c:v>-0.52352117488362326</c:v>
                </c:pt>
                <c:pt idx="1">
                  <c:v>2.0271237511682889</c:v>
                </c:pt>
                <c:pt idx="2">
                  <c:v>2.4263539225771042</c:v>
                </c:pt>
                <c:pt idx="3">
                  <c:v>1.8870313403561434</c:v>
                </c:pt>
                <c:pt idx="4">
                  <c:v>2.4498333733154301</c:v>
                </c:pt>
                <c:pt idx="5">
                  <c:v>2.7013012803193019</c:v>
                </c:pt>
                <c:pt idx="6">
                  <c:v>1.6661384111154891</c:v>
                </c:pt>
                <c:pt idx="7">
                  <c:v>4.4181977674036306</c:v>
                </c:pt>
                <c:pt idx="8">
                  <c:v>2.4466971927271071</c:v>
                </c:pt>
                <c:pt idx="9">
                  <c:v>1.8901517786369864</c:v>
                </c:pt>
                <c:pt idx="10">
                  <c:v>0.72408123867258867</c:v>
                </c:pt>
                <c:pt idx="11">
                  <c:v>0.99805648689620663</c:v>
                </c:pt>
                <c:pt idx="12">
                  <c:v>2.5787680802171309</c:v>
                </c:pt>
                <c:pt idx="13">
                  <c:v>1.9533257069732746</c:v>
                </c:pt>
                <c:pt idx="14">
                  <c:v>3.9328633253897851</c:v>
                </c:pt>
                <c:pt idx="15">
                  <c:v>1.8978092180776702</c:v>
                </c:pt>
                <c:pt idx="16">
                  <c:v>-1.7013955400498437</c:v>
                </c:pt>
                <c:pt idx="17">
                  <c:v>2.799888347635898</c:v>
                </c:pt>
                <c:pt idx="18">
                  <c:v>1.6076962334807043</c:v>
                </c:pt>
                <c:pt idx="19">
                  <c:v>1.95059041660455</c:v>
                </c:pt>
                <c:pt idx="20">
                  <c:v>1.6903605876690735</c:v>
                </c:pt>
                <c:pt idx="21">
                  <c:v>0.28695611492036976</c:v>
                </c:pt>
                <c:pt idx="22">
                  <c:v>1.4352317345670191</c:v>
                </c:pt>
                <c:pt idx="23">
                  <c:v>1.1437489697345122</c:v>
                </c:pt>
                <c:pt idx="24">
                  <c:v>2.445973857836897</c:v>
                </c:pt>
                <c:pt idx="25">
                  <c:v>0.21222203224720015</c:v>
                </c:pt>
                <c:pt idx="26">
                  <c:v>0.59419367331759465</c:v>
                </c:pt>
                <c:pt idx="27">
                  <c:v>0.6620506979971631</c:v>
                </c:pt>
                <c:pt idx="28">
                  <c:v>1.8423672725940921</c:v>
                </c:pt>
                <c:pt idx="29">
                  <c:v>1.988424831721189</c:v>
                </c:pt>
                <c:pt idx="30">
                  <c:v>0.7149372111968173</c:v>
                </c:pt>
                <c:pt idx="31">
                  <c:v>-0.13338505509358778</c:v>
                </c:pt>
                <c:pt idx="32">
                  <c:v>1.2283947503354762</c:v>
                </c:pt>
                <c:pt idx="33">
                  <c:v>2.3555634280919815</c:v>
                </c:pt>
              </c:numCache>
            </c:numRef>
          </c:val>
          <c:smooth val="0"/>
          <c:extLst>
            <c:ext xmlns:c16="http://schemas.microsoft.com/office/drawing/2014/chart" uri="{C3380CC4-5D6E-409C-BE32-E72D297353CC}">
              <c16:uniqueId val="{00000001-A306-5F43-9DF2-B41EBE5225C2}"/>
            </c:ext>
          </c:extLst>
        </c:ser>
        <c:dLbls>
          <c:showLegendKey val="0"/>
          <c:showVal val="0"/>
          <c:showCatName val="0"/>
          <c:showSerName val="0"/>
          <c:showPercent val="0"/>
          <c:showBubbleSize val="0"/>
        </c:dLbls>
        <c:smooth val="0"/>
        <c:axId val="1642961072"/>
        <c:axId val="1642615488"/>
      </c:lineChart>
      <c:catAx>
        <c:axId val="164296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crossAx val="1642615488"/>
        <c:crosses val="autoZero"/>
        <c:auto val="1"/>
        <c:lblAlgn val="ctr"/>
        <c:lblOffset val="100"/>
        <c:noMultiLvlLbl val="0"/>
      </c:catAx>
      <c:valAx>
        <c:axId val="164261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crossAx val="164296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[norway_housing_presure_part3.xlsx]04_PIVOTS!PivotTable7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Volatility (Std</a:t>
            </a:r>
            <a:r>
              <a:rPr lang="en-US" baseline="0"/>
              <a:t> Dev) - QoQ by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'04_PIVOTS'!$P$7</c:f>
              <c:strCache>
                <c:ptCount val="1"/>
                <c:pt idx="0">
                  <c:v>StdDev of hpi_qoq_pct</c:v>
                </c:pt>
              </c:strCache>
            </c:strRef>
          </c:tx>
          <c:spPr>
            <a:solidFill>
              <a:schemeClr val="accent1"/>
            </a:solidFill>
            <a:ln>
              <a:noFill/>
            </a:ln>
            <a:effectLst/>
          </c:spPr>
          <c:invertIfNegative val="0"/>
          <c:cat>
            <c:strRef>
              <c:f>'04_PIVOTS'!$O$8:$O$12</c:f>
              <c:strCache>
                <c:ptCount val="4"/>
                <c:pt idx="0">
                  <c:v>1990</c:v>
                </c:pt>
                <c:pt idx="1">
                  <c:v>2000</c:v>
                </c:pt>
                <c:pt idx="2">
                  <c:v>2010</c:v>
                </c:pt>
                <c:pt idx="3">
                  <c:v>2020</c:v>
                </c:pt>
              </c:strCache>
            </c:strRef>
          </c:cat>
          <c:val>
            <c:numRef>
              <c:f>'04_PIVOTS'!$P$8:$P$12</c:f>
              <c:numCache>
                <c:formatCode>General</c:formatCode>
                <c:ptCount val="4"/>
                <c:pt idx="0">
                  <c:v>2.7519055783753137</c:v>
                </c:pt>
                <c:pt idx="1">
                  <c:v>3.0831313807972971</c:v>
                </c:pt>
                <c:pt idx="2">
                  <c:v>2.3107886002054405</c:v>
                </c:pt>
                <c:pt idx="3">
                  <c:v>3.076492781717048</c:v>
                </c:pt>
              </c:numCache>
            </c:numRef>
          </c:val>
          <c:extLst>
            <c:ext xmlns:c16="http://schemas.microsoft.com/office/drawing/2014/chart" uri="{C3380CC4-5D6E-409C-BE32-E72D297353CC}">
              <c16:uniqueId val="{00000000-C588-0242-A1A3-9C0B30D78ABC}"/>
            </c:ext>
          </c:extLst>
        </c:ser>
        <c:ser>
          <c:idx val="1"/>
          <c:order val="1"/>
          <c:tx>
            <c:strRef>
              <c:f>'04_PIVOTS'!$Q$7</c:f>
              <c:strCache>
                <c:ptCount val="1"/>
                <c:pt idx="0">
                  <c:v>StdDev of hpi_yoy_pct</c:v>
                </c:pt>
              </c:strCache>
            </c:strRef>
          </c:tx>
          <c:spPr>
            <a:solidFill>
              <a:schemeClr val="accent2"/>
            </a:solidFill>
            <a:ln>
              <a:noFill/>
            </a:ln>
            <a:effectLst/>
          </c:spPr>
          <c:invertIfNegative val="0"/>
          <c:cat>
            <c:strRef>
              <c:f>'04_PIVOTS'!$O$8:$O$12</c:f>
              <c:strCache>
                <c:ptCount val="4"/>
                <c:pt idx="0">
                  <c:v>1990</c:v>
                </c:pt>
                <c:pt idx="1">
                  <c:v>2000</c:v>
                </c:pt>
                <c:pt idx="2">
                  <c:v>2010</c:v>
                </c:pt>
                <c:pt idx="3">
                  <c:v>2020</c:v>
                </c:pt>
              </c:strCache>
            </c:strRef>
          </c:cat>
          <c:val>
            <c:numRef>
              <c:f>'04_PIVOTS'!$Q$8:$Q$12</c:f>
              <c:numCache>
                <c:formatCode>General</c:formatCode>
                <c:ptCount val="4"/>
                <c:pt idx="0">
                  <c:v>4.9391511072046317</c:v>
                </c:pt>
                <c:pt idx="1">
                  <c:v>6.3461620131274135</c:v>
                </c:pt>
                <c:pt idx="2">
                  <c:v>2.9785941661876527</c:v>
                </c:pt>
                <c:pt idx="3">
                  <c:v>3.789274461594077</c:v>
                </c:pt>
              </c:numCache>
            </c:numRef>
          </c:val>
          <c:extLst>
            <c:ext xmlns:c16="http://schemas.microsoft.com/office/drawing/2014/chart" uri="{C3380CC4-5D6E-409C-BE32-E72D297353CC}">
              <c16:uniqueId val="{00000001-C588-0242-A1A3-9C0B30D78ABC}"/>
            </c:ext>
          </c:extLst>
        </c:ser>
        <c:dLbls>
          <c:showLegendKey val="0"/>
          <c:showVal val="0"/>
          <c:showCatName val="0"/>
          <c:showSerName val="0"/>
          <c:showPercent val="0"/>
          <c:showBubbleSize val="0"/>
        </c:dLbls>
        <c:gapWidth val="219"/>
        <c:axId val="1755530032"/>
        <c:axId val="1647493568"/>
      </c:barChart>
      <c:catAx>
        <c:axId val="175553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crossAx val="1647493568"/>
        <c:crosses val="autoZero"/>
        <c:auto val="1"/>
        <c:lblAlgn val="ctr"/>
        <c:lblOffset val="100"/>
        <c:noMultiLvlLbl val="0"/>
      </c:catAx>
      <c:valAx>
        <c:axId val="164749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crossAx val="175553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[norway_housing_presure_part3.xlsx]04_PIVOTS!PivotTable1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HPI</a:t>
            </a:r>
            <a:r>
              <a:rPr lang="en-US" b="1" baseline="0"/>
              <a:t> Index (Average) -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'04_PIVOTS'!$B$7</c:f>
              <c:strCache>
                <c:ptCount val="1"/>
                <c:pt idx="0">
                  <c:v>Average of hpi_index</c:v>
                </c:pt>
              </c:strCache>
            </c:strRef>
          </c:tx>
          <c:spPr>
            <a:ln w="28575" cap="rnd">
              <a:solidFill>
                <a:schemeClr val="accent1"/>
              </a:solidFill>
              <a:round/>
            </a:ln>
            <a:effectLst/>
          </c:spPr>
          <c:marker>
            <c:symbol val="none"/>
          </c:marker>
          <c:cat>
            <c:strRef>
              <c:f>'04_PIVOTS'!$A$8:$A$42</c:f>
              <c:strCache>
                <c:ptCount val="3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c:v>2025</c:v>
                </c:pt>
              </c:strCache>
            </c:strRef>
          </c:cat>
          <c:val>
            <c:numRef>
              <c:f>'04_PIVOTS'!$B$8:$B$42</c:f>
              <c:numCache>
                <c:formatCode>General</c:formatCode>
                <c:ptCount val="34"/>
                <c:pt idx="0">
                  <c:v>18.8</c:v>
                </c:pt>
                <c:pt idx="1">
                  <c:v>18.975000000000001</c:v>
                </c:pt>
                <c:pt idx="2">
                  <c:v>21.475000000000001</c:v>
                </c:pt>
                <c:pt idx="3">
                  <c:v>23.05</c:v>
                </c:pt>
                <c:pt idx="4">
                  <c:v>25.125</c:v>
                </c:pt>
                <c:pt idx="5">
                  <c:v>28.125</c:v>
                </c:pt>
                <c:pt idx="6">
                  <c:v>31.25</c:v>
                </c:pt>
                <c:pt idx="7">
                  <c:v>34.725000000000009</c:v>
                </c:pt>
                <c:pt idx="8">
                  <c:v>40.25</c:v>
                </c:pt>
                <c:pt idx="9">
                  <c:v>43.024999999999999</c:v>
                </c:pt>
                <c:pt idx="10">
                  <c:v>45.174999999999997</c:v>
                </c:pt>
                <c:pt idx="11">
                  <c:v>45.925000000000004</c:v>
                </c:pt>
                <c:pt idx="12">
                  <c:v>50.600000000000009</c:v>
                </c:pt>
                <c:pt idx="13">
                  <c:v>54.774999999999999</c:v>
                </c:pt>
                <c:pt idx="14">
                  <c:v>62.274999999999999</c:v>
                </c:pt>
                <c:pt idx="15">
                  <c:v>70.099999999999994</c:v>
                </c:pt>
                <c:pt idx="16">
                  <c:v>69.349999999999994</c:v>
                </c:pt>
                <c:pt idx="17">
                  <c:v>70.674999999999997</c:v>
                </c:pt>
                <c:pt idx="18">
                  <c:v>76.474999999999994</c:v>
                </c:pt>
                <c:pt idx="19">
                  <c:v>82.6</c:v>
                </c:pt>
                <c:pt idx="20">
                  <c:v>88.2</c:v>
                </c:pt>
                <c:pt idx="21">
                  <c:v>91.75</c:v>
                </c:pt>
                <c:pt idx="22">
                  <c:v>94.25</c:v>
                </c:pt>
                <c:pt idx="23">
                  <c:v>100</c:v>
                </c:pt>
                <c:pt idx="24">
                  <c:v>107.02500000000001</c:v>
                </c:pt>
                <c:pt idx="25">
                  <c:v>112.35</c:v>
                </c:pt>
                <c:pt idx="26">
                  <c:v>113.97499999999999</c:v>
                </c:pt>
                <c:pt idx="27">
                  <c:v>116.80000000000001</c:v>
                </c:pt>
                <c:pt idx="28">
                  <c:v>121.77500000000001</c:v>
                </c:pt>
                <c:pt idx="29">
                  <c:v>134.52500000000001</c:v>
                </c:pt>
                <c:pt idx="30">
                  <c:v>141.57499999999999</c:v>
                </c:pt>
                <c:pt idx="31">
                  <c:v>140.80000000000001</c:v>
                </c:pt>
                <c:pt idx="32">
                  <c:v>144.57499999999999</c:v>
                </c:pt>
                <c:pt idx="33">
                  <c:v>152.83333333333334</c:v>
                </c:pt>
              </c:numCache>
            </c:numRef>
          </c:val>
          <c:smooth val="0"/>
          <c:extLst>
            <c:ext xmlns:c16="http://schemas.microsoft.com/office/drawing/2014/chart" uri="{C3380CC4-5D6E-409C-BE32-E72D297353CC}">
              <c16:uniqueId val="{00000000-CB9F-AF45-A4AF-AD93F6E9D452}"/>
            </c:ext>
          </c:extLst>
        </c:ser>
        <c:ser>
          <c:idx val="1"/>
          <c:order val="1"/>
          <c:tx>
            <c:strRef>
              <c:f>'04_PIVOTS'!$C$7</c:f>
              <c:strCache>
                <c:ptCount val="1"/>
                <c:pt idx="0">
                  <c:v>Average of hpi_sa_index</c:v>
                </c:pt>
              </c:strCache>
            </c:strRef>
          </c:tx>
          <c:spPr>
            <a:ln w="28575" cap="rnd">
              <a:solidFill>
                <a:schemeClr val="accent2"/>
              </a:solidFill>
              <a:round/>
            </a:ln>
            <a:effectLst/>
          </c:spPr>
          <c:marker>
            <c:symbol val="none"/>
          </c:marker>
          <c:cat>
            <c:strRef>
              <c:f>'04_PIVOTS'!$A$8:$A$42</c:f>
              <c:strCache>
                <c:ptCount val="3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c:v>2025</c:v>
                </c:pt>
              </c:strCache>
            </c:strRef>
          </c:cat>
          <c:val>
            <c:numRef>
              <c:f>'04_PIVOTS'!$C$8:$C$42</c:f>
              <c:numCache>
                <c:formatCode>General</c:formatCode>
                <c:ptCount val="34"/>
                <c:pt idx="13">
                  <c:v>54.8</c:v>
                </c:pt>
                <c:pt idx="14">
                  <c:v>62.274999999999999</c:v>
                </c:pt>
                <c:pt idx="15">
                  <c:v>70.099999999999994</c:v>
                </c:pt>
                <c:pt idx="16">
                  <c:v>69.325000000000003</c:v>
                </c:pt>
                <c:pt idx="17">
                  <c:v>70.674999999999997</c:v>
                </c:pt>
                <c:pt idx="18">
                  <c:v>76.5</c:v>
                </c:pt>
                <c:pt idx="19">
                  <c:v>82.600000000000009</c:v>
                </c:pt>
                <c:pt idx="20">
                  <c:v>88.174999999999997</c:v>
                </c:pt>
                <c:pt idx="21">
                  <c:v>91.724999999999994</c:v>
                </c:pt>
                <c:pt idx="22">
                  <c:v>94.275000000000006</c:v>
                </c:pt>
                <c:pt idx="23">
                  <c:v>100</c:v>
                </c:pt>
                <c:pt idx="24">
                  <c:v>107.07499999999999</c:v>
                </c:pt>
                <c:pt idx="25">
                  <c:v>112.375</c:v>
                </c:pt>
                <c:pt idx="26">
                  <c:v>113.97499999999999</c:v>
                </c:pt>
                <c:pt idx="27">
                  <c:v>116.82499999999999</c:v>
                </c:pt>
                <c:pt idx="28">
                  <c:v>121.85</c:v>
                </c:pt>
                <c:pt idx="29">
                  <c:v>134.57499999999999</c:v>
                </c:pt>
                <c:pt idx="30">
                  <c:v>141.625</c:v>
                </c:pt>
                <c:pt idx="31">
                  <c:v>140.80000000000001</c:v>
                </c:pt>
                <c:pt idx="32">
                  <c:v>144.57499999999999</c:v>
                </c:pt>
                <c:pt idx="33">
                  <c:v>151.36666666666667</c:v>
                </c:pt>
              </c:numCache>
            </c:numRef>
          </c:val>
          <c:smooth val="0"/>
          <c:extLst>
            <c:ext xmlns:c16="http://schemas.microsoft.com/office/drawing/2014/chart" uri="{C3380CC4-5D6E-409C-BE32-E72D297353CC}">
              <c16:uniqueId val="{00000001-CB9F-AF45-A4AF-AD93F6E9D452}"/>
            </c:ext>
          </c:extLst>
        </c:ser>
        <c:dLbls>
          <c:showLegendKey val="0"/>
          <c:showVal val="0"/>
          <c:showCatName val="0"/>
          <c:showSerName val="0"/>
          <c:showPercent val="0"/>
          <c:showBubbleSize val="0"/>
        </c:dLbls>
        <c:smooth val="0"/>
        <c:axId val="1642537472"/>
        <c:axId val="1642539184"/>
      </c:lineChart>
      <c:catAx>
        <c:axId val="164253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crossAx val="1642539184"/>
        <c:crosses val="autoZero"/>
        <c:auto val="1"/>
        <c:lblAlgn val="ctr"/>
        <c:lblOffset val="100"/>
        <c:noMultiLvlLbl val="0"/>
      </c:catAx>
      <c:valAx>
        <c:axId val="164253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crossAx val="164253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[norway_housing_presure_part3.xlsx]04_PIVOTS!PivotTable2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HPI</a:t>
            </a:r>
            <a:r>
              <a:rPr lang="en-US" b="1" baseline="0"/>
              <a:t> Growth - YoY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'04_PIVOTS'!$G$7</c:f>
              <c:strCache>
                <c:ptCount val="1"/>
                <c:pt idx="0">
                  <c:v>Average of hpi_yoy_pct</c:v>
                </c:pt>
              </c:strCache>
            </c:strRef>
          </c:tx>
          <c:spPr>
            <a:ln w="28575" cap="rnd">
              <a:solidFill>
                <a:schemeClr val="accent1"/>
              </a:solidFill>
              <a:round/>
            </a:ln>
            <a:effectLst/>
          </c:spPr>
          <c:marker>
            <c:symbol val="none"/>
          </c:marker>
          <c:cat>
            <c:strRef>
              <c:f>'04_PIVOTS'!$F$8:$F$42</c:f>
              <c:strCache>
                <c:ptCount val="3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c:v>2025</c:v>
                </c:pt>
              </c:strCache>
            </c:strRef>
          </c:cat>
          <c:val>
            <c:numRef>
              <c:f>'04_PIVOTS'!$G$8:$G$42</c:f>
              <c:numCache>
                <c:formatCode>General</c:formatCode>
                <c:ptCount val="34"/>
                <c:pt idx="1">
                  <c:v>0.95900531790789034</c:v>
                </c:pt>
                <c:pt idx="2">
                  <c:v>13.25421170226671</c:v>
                </c:pt>
                <c:pt idx="3">
                  <c:v>7.3454362760608181</c:v>
                </c:pt>
                <c:pt idx="4">
                  <c:v>8.9853474517108847</c:v>
                </c:pt>
                <c:pt idx="5">
                  <c:v>11.936658736018817</c:v>
                </c:pt>
                <c:pt idx="6">
                  <c:v>11.182742122942535</c:v>
                </c:pt>
                <c:pt idx="7">
                  <c:v>11.120515114048763</c:v>
                </c:pt>
                <c:pt idx="8">
                  <c:v>16.107853656144517</c:v>
                </c:pt>
                <c:pt idx="9">
                  <c:v>6.9124937238988933</c:v>
                </c:pt>
                <c:pt idx="10">
                  <c:v>5.0210217968958633</c:v>
                </c:pt>
                <c:pt idx="11">
                  <c:v>1.6871142153160046</c:v>
                </c:pt>
                <c:pt idx="12">
                  <c:v>10.177303128957398</c:v>
                </c:pt>
                <c:pt idx="13">
                  <c:v>8.2473397674087732</c:v>
                </c:pt>
                <c:pt idx="14">
                  <c:v>13.659221136921445</c:v>
                </c:pt>
                <c:pt idx="15">
                  <c:v>12.676523101862857</c:v>
                </c:pt>
                <c:pt idx="16">
                  <c:v>-1.0620672717678636</c:v>
                </c:pt>
                <c:pt idx="17">
                  <c:v>2.1489697991296239</c:v>
                </c:pt>
                <c:pt idx="18">
                  <c:v>8.2520573373685231</c:v>
                </c:pt>
                <c:pt idx="19">
                  <c:v>8.0133623313377527</c:v>
                </c:pt>
                <c:pt idx="20">
                  <c:v>6.7762738233204107</c:v>
                </c:pt>
                <c:pt idx="21">
                  <c:v>4.0431168688151278</c:v>
                </c:pt>
                <c:pt idx="22">
                  <c:v>2.7476837000316445</c:v>
                </c:pt>
                <c:pt idx="23">
                  <c:v>6.1092347197454888</c:v>
                </c:pt>
                <c:pt idx="24">
                  <c:v>7.0247097985535358</c:v>
                </c:pt>
                <c:pt idx="25">
                  <c:v>5.0585569877131036</c:v>
                </c:pt>
                <c:pt idx="26">
                  <c:v>1.4564531766658284</c:v>
                </c:pt>
                <c:pt idx="27">
                  <c:v>2.4843791875199752</c:v>
                </c:pt>
                <c:pt idx="28">
                  <c:v>4.2678542841137812</c:v>
                </c:pt>
                <c:pt idx="29">
                  <c:v>10.486855644760224</c:v>
                </c:pt>
                <c:pt idx="30">
                  <c:v>5.2478659020716805</c:v>
                </c:pt>
                <c:pt idx="31">
                  <c:v>-0.54857740503661268</c:v>
                </c:pt>
                <c:pt idx="32">
                  <c:v>2.7051269168152983</c:v>
                </c:pt>
                <c:pt idx="33">
                  <c:v>5.3440796851311463</c:v>
                </c:pt>
              </c:numCache>
            </c:numRef>
          </c:val>
          <c:smooth val="0"/>
          <c:extLst>
            <c:ext xmlns:c16="http://schemas.microsoft.com/office/drawing/2014/chart" uri="{C3380CC4-5D6E-409C-BE32-E72D297353CC}">
              <c16:uniqueId val="{00000000-FEDB-B445-91BF-DF583AA6D007}"/>
            </c:ext>
          </c:extLst>
        </c:ser>
        <c:ser>
          <c:idx val="1"/>
          <c:order val="1"/>
          <c:tx>
            <c:strRef>
              <c:f>'04_PIVOTS'!$H$7</c:f>
              <c:strCache>
                <c:ptCount val="1"/>
                <c:pt idx="0">
                  <c:v>Average of hpi_qoq_pct</c:v>
                </c:pt>
              </c:strCache>
            </c:strRef>
          </c:tx>
          <c:spPr>
            <a:ln w="28575" cap="rnd">
              <a:solidFill>
                <a:schemeClr val="accent2"/>
              </a:solidFill>
              <a:round/>
            </a:ln>
            <a:effectLst/>
          </c:spPr>
          <c:marker>
            <c:symbol val="none"/>
          </c:marker>
          <c:cat>
            <c:strRef>
              <c:f>'04_PIVOTS'!$F$8:$F$42</c:f>
              <c:strCache>
                <c:ptCount val="34"/>
                <c:pt idx="0">
                  <c:v>1992</c:v>
                </c:pt>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pt idx="32">
                  <c:v>2024</c:v>
                </c:pt>
                <c:pt idx="33">
                  <c:v>2025</c:v>
                </c:pt>
              </c:strCache>
            </c:strRef>
          </c:cat>
          <c:val>
            <c:numRef>
              <c:f>'04_PIVOTS'!$H$8:$H$42</c:f>
              <c:numCache>
                <c:formatCode>General</c:formatCode>
                <c:ptCount val="34"/>
                <c:pt idx="0">
                  <c:v>-0.52352117488362326</c:v>
                </c:pt>
                <c:pt idx="1">
                  <c:v>2.0271237511682889</c:v>
                </c:pt>
                <c:pt idx="2">
                  <c:v>2.4263539225771042</c:v>
                </c:pt>
                <c:pt idx="3">
                  <c:v>1.8870313403561434</c:v>
                </c:pt>
                <c:pt idx="4">
                  <c:v>2.4498333733154301</c:v>
                </c:pt>
                <c:pt idx="5">
                  <c:v>2.7013012803193019</c:v>
                </c:pt>
                <c:pt idx="6">
                  <c:v>1.6661384111154891</c:v>
                </c:pt>
                <c:pt idx="7">
                  <c:v>4.4181977674036306</c:v>
                </c:pt>
                <c:pt idx="8">
                  <c:v>2.4466971927271071</c:v>
                </c:pt>
                <c:pt idx="9">
                  <c:v>1.8901517786369864</c:v>
                </c:pt>
                <c:pt idx="10">
                  <c:v>0.72408123867258867</c:v>
                </c:pt>
                <c:pt idx="11">
                  <c:v>0.99805648689620663</c:v>
                </c:pt>
                <c:pt idx="12">
                  <c:v>2.5787680802171309</c:v>
                </c:pt>
                <c:pt idx="13">
                  <c:v>1.9533257069732746</c:v>
                </c:pt>
                <c:pt idx="14">
                  <c:v>3.9328633253897851</c:v>
                </c:pt>
                <c:pt idx="15">
                  <c:v>1.8978092180776702</c:v>
                </c:pt>
                <c:pt idx="16">
                  <c:v>-1.7013955400498437</c:v>
                </c:pt>
                <c:pt idx="17">
                  <c:v>2.799888347635898</c:v>
                </c:pt>
                <c:pt idx="18">
                  <c:v>1.6076962334807043</c:v>
                </c:pt>
                <c:pt idx="19">
                  <c:v>1.95059041660455</c:v>
                </c:pt>
                <c:pt idx="20">
                  <c:v>1.6903605876690735</c:v>
                </c:pt>
                <c:pt idx="21">
                  <c:v>0.28695611492036976</c:v>
                </c:pt>
                <c:pt idx="22">
                  <c:v>1.4352317345670191</c:v>
                </c:pt>
                <c:pt idx="23">
                  <c:v>1.1437489697345122</c:v>
                </c:pt>
                <c:pt idx="24">
                  <c:v>2.445973857836897</c:v>
                </c:pt>
                <c:pt idx="25">
                  <c:v>0.21222203224720015</c:v>
                </c:pt>
                <c:pt idx="26">
                  <c:v>0.59419367331759465</c:v>
                </c:pt>
                <c:pt idx="27">
                  <c:v>0.6620506979971631</c:v>
                </c:pt>
                <c:pt idx="28">
                  <c:v>1.8423672725940921</c:v>
                </c:pt>
                <c:pt idx="29">
                  <c:v>1.988424831721189</c:v>
                </c:pt>
                <c:pt idx="30">
                  <c:v>0.7149372111968173</c:v>
                </c:pt>
                <c:pt idx="31">
                  <c:v>-0.13338505509358778</c:v>
                </c:pt>
                <c:pt idx="32">
                  <c:v>1.2283947503354762</c:v>
                </c:pt>
                <c:pt idx="33">
                  <c:v>2.3555634280919815</c:v>
                </c:pt>
              </c:numCache>
            </c:numRef>
          </c:val>
          <c:smooth val="0"/>
          <c:extLst>
            <c:ext xmlns:c16="http://schemas.microsoft.com/office/drawing/2014/chart" uri="{C3380CC4-5D6E-409C-BE32-E72D297353CC}">
              <c16:uniqueId val="{00000001-FEDB-B445-91BF-DF583AA6D007}"/>
            </c:ext>
          </c:extLst>
        </c:ser>
        <c:dLbls>
          <c:showLegendKey val="0"/>
          <c:showVal val="0"/>
          <c:showCatName val="0"/>
          <c:showSerName val="0"/>
          <c:showPercent val="0"/>
          <c:showBubbleSize val="0"/>
        </c:dLbls>
        <c:smooth val="0"/>
        <c:axId val="1642961072"/>
        <c:axId val="1642615488"/>
      </c:lineChart>
      <c:catAx>
        <c:axId val="164296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crossAx val="1642615488"/>
        <c:crosses val="autoZero"/>
        <c:auto val="1"/>
        <c:lblAlgn val="ctr"/>
        <c:lblOffset val="100"/>
        <c:noMultiLvlLbl val="0"/>
      </c:catAx>
      <c:valAx>
        <c:axId val="164261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crossAx val="164296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[norway_housing_presure_part3.xlsx]04_PIVOTS!PivotTable7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Volatility (Std</a:t>
            </a:r>
            <a:r>
              <a:rPr lang="en-US" b="1" baseline="0"/>
              <a:t> Dev) - QoQ by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'04_PIVOTS'!$P$7</c:f>
              <c:strCache>
                <c:ptCount val="1"/>
                <c:pt idx="0">
                  <c:v>StdDev of hpi_qoq_pct</c:v>
                </c:pt>
              </c:strCache>
            </c:strRef>
          </c:tx>
          <c:spPr>
            <a:solidFill>
              <a:schemeClr val="accent1"/>
            </a:solidFill>
            <a:ln>
              <a:noFill/>
            </a:ln>
            <a:effectLst/>
          </c:spPr>
          <c:invertIfNegative val="0"/>
          <c:cat>
            <c:strRef>
              <c:f>'04_PIVOTS'!$O$8:$O$12</c:f>
              <c:strCache>
                <c:ptCount val="4"/>
                <c:pt idx="0">
                  <c:v>1990</c:v>
                </c:pt>
                <c:pt idx="1">
                  <c:v>2000</c:v>
                </c:pt>
                <c:pt idx="2">
                  <c:v>2010</c:v>
                </c:pt>
                <c:pt idx="3">
                  <c:v>2020</c:v>
                </c:pt>
              </c:strCache>
            </c:strRef>
          </c:cat>
          <c:val>
            <c:numRef>
              <c:f>'04_PIVOTS'!$P$8:$P$12</c:f>
              <c:numCache>
                <c:formatCode>General</c:formatCode>
                <c:ptCount val="4"/>
                <c:pt idx="0">
                  <c:v>2.7519055783753137</c:v>
                </c:pt>
                <c:pt idx="1">
                  <c:v>3.0831313807972971</c:v>
                </c:pt>
                <c:pt idx="2">
                  <c:v>2.3107886002054405</c:v>
                </c:pt>
                <c:pt idx="3">
                  <c:v>3.076492781717048</c:v>
                </c:pt>
              </c:numCache>
            </c:numRef>
          </c:val>
          <c:extLst>
            <c:ext xmlns:c16="http://schemas.microsoft.com/office/drawing/2014/chart" uri="{C3380CC4-5D6E-409C-BE32-E72D297353CC}">
              <c16:uniqueId val="{00000000-4096-0B4C-B731-95D664685CFB}"/>
            </c:ext>
          </c:extLst>
        </c:ser>
        <c:ser>
          <c:idx val="1"/>
          <c:order val="1"/>
          <c:tx>
            <c:strRef>
              <c:f>'04_PIVOTS'!$Q$7</c:f>
              <c:strCache>
                <c:ptCount val="1"/>
                <c:pt idx="0">
                  <c:v>StdDev of hpi_yoy_pct</c:v>
                </c:pt>
              </c:strCache>
            </c:strRef>
          </c:tx>
          <c:spPr>
            <a:solidFill>
              <a:schemeClr val="accent2"/>
            </a:solidFill>
            <a:ln>
              <a:noFill/>
            </a:ln>
            <a:effectLst/>
          </c:spPr>
          <c:invertIfNegative val="0"/>
          <c:cat>
            <c:strRef>
              <c:f>'04_PIVOTS'!$O$8:$O$12</c:f>
              <c:strCache>
                <c:ptCount val="4"/>
                <c:pt idx="0">
                  <c:v>1990</c:v>
                </c:pt>
                <c:pt idx="1">
                  <c:v>2000</c:v>
                </c:pt>
                <c:pt idx="2">
                  <c:v>2010</c:v>
                </c:pt>
                <c:pt idx="3">
                  <c:v>2020</c:v>
                </c:pt>
              </c:strCache>
            </c:strRef>
          </c:cat>
          <c:val>
            <c:numRef>
              <c:f>'04_PIVOTS'!$Q$8:$Q$12</c:f>
              <c:numCache>
                <c:formatCode>General</c:formatCode>
                <c:ptCount val="4"/>
                <c:pt idx="0">
                  <c:v>4.9391511072046317</c:v>
                </c:pt>
                <c:pt idx="1">
                  <c:v>6.3461620131274135</c:v>
                </c:pt>
                <c:pt idx="2">
                  <c:v>2.9785941661876527</c:v>
                </c:pt>
                <c:pt idx="3">
                  <c:v>3.789274461594077</c:v>
                </c:pt>
              </c:numCache>
            </c:numRef>
          </c:val>
          <c:extLst>
            <c:ext xmlns:c16="http://schemas.microsoft.com/office/drawing/2014/chart" uri="{C3380CC4-5D6E-409C-BE32-E72D297353CC}">
              <c16:uniqueId val="{00000001-4096-0B4C-B731-95D664685CFB}"/>
            </c:ext>
          </c:extLst>
        </c:ser>
        <c:dLbls>
          <c:showLegendKey val="0"/>
          <c:showVal val="0"/>
          <c:showCatName val="0"/>
          <c:showSerName val="0"/>
          <c:showPercent val="0"/>
          <c:showBubbleSize val="0"/>
        </c:dLbls>
        <c:gapWidth val="219"/>
        <c:axId val="1755530032"/>
        <c:axId val="1647493568"/>
      </c:barChart>
      <c:catAx>
        <c:axId val="175553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crossAx val="1647493568"/>
        <c:crosses val="autoZero"/>
        <c:auto val="1"/>
        <c:lblAlgn val="ctr"/>
        <c:lblOffset val="100"/>
        <c:noMultiLvlLbl val="0"/>
      </c:catAx>
      <c:valAx>
        <c:axId val="164749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crossAx val="175553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368300</xdr:colOff>
      <xdr:row>20</xdr:row>
      <xdr:rowOff>114300</xdr:rowOff>
    </xdr:from>
    <xdr:to>
      <xdr:col>12</xdr:col>
      <xdr:colOff>723900</xdr:colOff>
      <xdr:row>33</xdr:row>
      <xdr:rowOff>92072</xdr:rowOff>
    </xdr:to>
    <mc:AlternateContent xmlns:mc="http://schemas.openxmlformats.org/markup-compatibility/2006">
      <mc:Choice xmlns:a14="http://schemas.microsoft.com/office/drawing/2010/main" Requires="a14">
        <xdr:graphicFrame macro="">
          <xdr:nvGraphicFramePr>
            <xdr:cNvPr id="6" name="decade">
              <a:extLst>
                <a:ext uri="{FF2B5EF4-FFF2-40B4-BE49-F238E27FC236}">
                  <a16:creationId xmlns:a16="http://schemas.microsoft.com/office/drawing/2014/main" id="{366D7277-7EF8-A0C5-0644-FBD6EB6F88D0}"/>
                </a:ext>
              </a:extLst>
            </xdr:cNvPr>
            <xdr:cNvGraphicFramePr/>
          </xdr:nvGraphicFramePr>
          <xdr:xfrm>
            <a:off x="0" y="0"/>
            <a:ext cx="0" cy="0"/>
          </xdr:xfrm>
          <a:graphic>
            <a:graphicData uri="http://schemas.microsoft.com/office/drawing/2010/slicer">
              <sle:slicer xmlns:sle="http://schemas.microsoft.com/office/drawing/2010/slicer" name="decade"/>
            </a:graphicData>
          </a:graphic>
        </xdr:graphicFrame>
      </mc:Choice>
      <mc:Fallback>
        <xdr:sp macro="" textlink="">
          <xdr:nvSpPr>
            <xdr:cNvPr id="0" name=""/>
            <xdr:cNvSpPr>
              <a:spLocks noTextEdit="1"/>
            </xdr:cNvSpPr>
          </xdr:nvSpPr>
          <xdr:spPr>
            <a:xfrm>
              <a:off x="12700000" y="4178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368300</xdr:colOff>
      <xdr:row>1</xdr:row>
      <xdr:rowOff>114300</xdr:rowOff>
    </xdr:from>
    <xdr:to>
      <xdr:col>10</xdr:col>
      <xdr:colOff>673100</xdr:colOff>
      <xdr:row>29</xdr:row>
      <xdr:rowOff>50800</xdr:rowOff>
    </xdr:to>
    <xdr:graphicFrame macro="">
      <xdr:nvGraphicFramePr>
        <xdr:cNvPr id="2" name="Chart 1">
          <a:extLst>
            <a:ext uri="{FF2B5EF4-FFF2-40B4-BE49-F238E27FC236}">
              <a16:creationId xmlns:a16="http://schemas.microsoft.com/office/drawing/2014/main" id="{687C9F09-736D-EEE6-F54A-B4C0D9002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768350</xdr:colOff>
      <xdr:row>1</xdr:row>
      <xdr:rowOff>127000</xdr:rowOff>
    </xdr:from>
    <xdr:to>
      <xdr:col>21</xdr:col>
      <xdr:colOff>76200</xdr:colOff>
      <xdr:row>29</xdr:row>
      <xdr:rowOff>38100</xdr:rowOff>
    </xdr:to>
    <xdr:graphicFrame macro="">
      <xdr:nvGraphicFramePr>
        <xdr:cNvPr id="3" name="Chart 2">
          <a:extLst>
            <a:ext uri="{FF2B5EF4-FFF2-40B4-BE49-F238E27FC236}">
              <a16:creationId xmlns:a16="http://schemas.microsoft.com/office/drawing/2014/main" id="{16167A3B-3639-14AF-B7BD-9AA29D32C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787400</xdr:colOff>
      <xdr:row>29</xdr:row>
      <xdr:rowOff>120650</xdr:rowOff>
    </xdr:from>
    <xdr:to>
      <xdr:col>21</xdr:col>
      <xdr:colOff>101600</xdr:colOff>
      <xdr:row>52</xdr:row>
      <xdr:rowOff>25400</xdr:rowOff>
    </xdr:to>
    <xdr:graphicFrame macro="">
      <xdr:nvGraphicFramePr>
        <xdr:cNvPr id="4" name="Chart 3">
          <a:extLst>
            <a:ext uri="{FF2B5EF4-FFF2-40B4-BE49-F238E27FC236}">
              <a16:creationId xmlns:a16="http://schemas.microsoft.com/office/drawing/2014/main" id="{5146A395-1D96-9D93-FE56-8CA7A072E8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xdr:colOff>
      <xdr:row>9</xdr:row>
      <xdr:rowOff>50800</xdr:rowOff>
    </xdr:from>
    <xdr:to>
      <xdr:col>6</xdr:col>
      <xdr:colOff>1418166</xdr:colOff>
      <xdr:row>32</xdr:row>
      <xdr:rowOff>158750</xdr:rowOff>
    </xdr:to>
    <xdr:graphicFrame macro="">
      <xdr:nvGraphicFramePr>
        <xdr:cNvPr id="2" name="Chart 1">
          <a:extLst>
            <a:ext uri="{FF2B5EF4-FFF2-40B4-BE49-F238E27FC236}">
              <a16:creationId xmlns:a16="http://schemas.microsoft.com/office/drawing/2014/main" id="{1B39BB85-DEFC-7B4D-A2B2-FD2C488AB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10584</xdr:colOff>
      <xdr:row>9</xdr:row>
      <xdr:rowOff>52917</xdr:rowOff>
    </xdr:from>
    <xdr:to>
      <xdr:col>15</xdr:col>
      <xdr:colOff>804333</xdr:colOff>
      <xdr:row>32</xdr:row>
      <xdr:rowOff>158749</xdr:rowOff>
    </xdr:to>
    <xdr:graphicFrame macro="">
      <xdr:nvGraphicFramePr>
        <xdr:cNvPr id="3" name="Chart 2">
          <a:extLst>
            <a:ext uri="{FF2B5EF4-FFF2-40B4-BE49-F238E27FC236}">
              <a16:creationId xmlns:a16="http://schemas.microsoft.com/office/drawing/2014/main" id="{405C9E38-79CC-1F43-9ECD-306D343E2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10584</xdr:colOff>
      <xdr:row>32</xdr:row>
      <xdr:rowOff>194733</xdr:rowOff>
    </xdr:from>
    <xdr:to>
      <xdr:col>16</xdr:col>
      <xdr:colOff>1</xdr:colOff>
      <xdr:row>56</xdr:row>
      <xdr:rowOff>63500</xdr:rowOff>
    </xdr:to>
    <xdr:graphicFrame macro="">
      <xdr:nvGraphicFramePr>
        <xdr:cNvPr id="4" name="Chart 3">
          <a:extLst>
            <a:ext uri="{FF2B5EF4-FFF2-40B4-BE49-F238E27FC236}">
              <a16:creationId xmlns:a16="http://schemas.microsoft.com/office/drawing/2014/main" id="{2E472933-17D6-7740-B417-5719BE9D7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433916</xdr:colOff>
      <xdr:row>0</xdr:row>
      <xdr:rowOff>0</xdr:rowOff>
    </xdr:from>
    <xdr:to>
      <xdr:col>15</xdr:col>
      <xdr:colOff>751417</xdr:colOff>
      <xdr:row>8</xdr:row>
      <xdr:rowOff>137583</xdr:rowOff>
    </xdr:to>
    <mc:AlternateContent xmlns:mc="http://schemas.openxmlformats.org/markup-compatibility/2006">
      <mc:Choice xmlns:a14="http://schemas.microsoft.com/office/drawing/2010/main" Requires="a14">
        <xdr:graphicFrame macro="">
          <xdr:nvGraphicFramePr>
            <xdr:cNvPr id="5" name="decade 1">
              <a:extLst>
                <a:ext uri="{FF2B5EF4-FFF2-40B4-BE49-F238E27FC236}">
                  <a16:creationId xmlns:a16="http://schemas.microsoft.com/office/drawing/2014/main" id="{15FD2865-20F6-C64D-B288-291EEFB7141E}"/>
                </a:ext>
              </a:extLst>
            </xdr:cNvPr>
            <xdr:cNvGraphicFramePr/>
          </xdr:nvGraphicFramePr>
          <xdr:xfrm>
            <a:off x="0" y="0"/>
            <a:ext cx="0" cy="0"/>
          </xdr:xfrm>
          <a:graphic>
            <a:graphicData uri="http://schemas.microsoft.com/office/drawing/2010/slicer">
              <sle:slicer xmlns:sle="http://schemas.microsoft.com/office/drawing/2010/slicer" name="decade 1"/>
            </a:graphicData>
          </a:graphic>
        </xdr:graphicFrame>
      </mc:Choice>
      <mc:Fallback>
        <xdr:sp macro="" textlink="">
          <xdr:nvSpPr>
            <xdr:cNvPr id="0" name=""/>
            <xdr:cNvSpPr>
              <a:spLocks noTextEdit="1"/>
            </xdr:cNvSpPr>
          </xdr:nvSpPr>
          <xdr:spPr>
            <a:xfrm>
              <a:off x="15991416" y="0"/>
              <a:ext cx="1143001" cy="1862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  Babak Balouch" refreshedDate="46009.581467824071" createdVersion="8" refreshedVersion="8" minRefreshableVersion="3" recordCount="135" xr:uid="{0E4304F2-9A14-414F-9F54-9C05619C1245}">
  <cacheSource type="worksheet">
    <worksheetSource name="tbl_mart"/>
  </cacheSource>
  <cacheFields count="34">
    <cacheField name="boligtype_code" numFmtId="0">
      <sharedItems containsSemiMixedTypes="0" containsString="0" containsNumber="1" containsInteger="1" minValue="0" maxValue="0" count="1">
        <n v="0"/>
      </sharedItems>
    </cacheField>
    <cacheField name="quarter" numFmtId="0">
      <sharedItems/>
    </cacheField>
    <cacheField name="quarter_start" numFmtId="14">
      <sharedItems containsSemiMixedTypes="0" containsNonDate="0" containsDate="1" containsString="0" minDate="1992-01-01T00:00:00" maxDate="2025-07-02T00:00:00" count="135">
        <d v="1992-01-01T00:00:00"/>
        <d v="1992-04-01T00:00:00"/>
        <d v="1992-07-01T00:00:00"/>
        <d v="1992-10-01T00:00:00"/>
        <d v="1993-01-01T00:00:00"/>
        <d v="1993-04-01T00:00:00"/>
        <d v="1993-07-01T00:00:00"/>
        <d v="1993-10-01T00:00:00"/>
        <d v="1994-01-01T00:00:00"/>
        <d v="1994-04-01T00:00:00"/>
        <d v="1994-07-01T00:00:00"/>
        <d v="1994-10-01T00:00:00"/>
        <d v="1995-01-01T00:00:00"/>
        <d v="1995-04-01T00:00:00"/>
        <d v="1995-07-01T00:00:00"/>
        <d v="1995-10-01T00:00:00"/>
        <d v="1996-01-01T00:00:00"/>
        <d v="1996-04-01T00:00:00"/>
        <d v="1996-07-01T00:00:00"/>
        <d v="1996-10-01T00:00:00"/>
        <d v="1997-01-01T00:00:00"/>
        <d v="1997-04-01T00:00:00"/>
        <d v="1997-07-01T00:00:00"/>
        <d v="1997-10-01T00:00:00"/>
        <d v="1998-01-01T00:00:00"/>
        <d v="1998-04-01T00:00:00"/>
        <d v="1998-07-01T00:00:00"/>
        <d v="1998-10-01T00:00:00"/>
        <d v="1999-01-01T00:00:00"/>
        <d v="1999-04-01T00:00:00"/>
        <d v="1999-07-01T00:00:00"/>
        <d v="1999-10-01T00:00:00"/>
        <d v="2000-01-01T00:00:00"/>
        <d v="2000-04-01T00:00:00"/>
        <d v="2000-07-01T00:00:00"/>
        <d v="2000-10-01T00:00:00"/>
        <d v="2001-01-01T00:00:00"/>
        <d v="2001-04-01T00:00:00"/>
        <d v="2001-07-01T00:00:00"/>
        <d v="2001-10-01T00:00:00"/>
        <d v="2002-01-01T00:00:00"/>
        <d v="2002-04-01T00:00:00"/>
        <d v="2002-07-01T00:00:00"/>
        <d v="2002-10-01T00:00:00"/>
        <d v="2003-01-01T00:00:00"/>
        <d v="2003-04-01T00:00:00"/>
        <d v="2003-07-01T00:00:00"/>
        <d v="2003-10-01T00:00:00"/>
        <d v="2004-01-01T00:00:00"/>
        <d v="2004-04-01T00:00:00"/>
        <d v="2004-07-01T00:00:00"/>
        <d v="2004-10-01T00:00:00"/>
        <d v="2005-01-01T00:00:00"/>
        <d v="2005-04-01T00:00:00"/>
        <d v="2005-07-01T00:00:00"/>
        <d v="2005-10-01T00:00:00"/>
        <d v="2006-01-01T00:00:00"/>
        <d v="2006-04-01T00:00:00"/>
        <d v="2006-07-01T00:00:00"/>
        <d v="2006-10-01T00:00:00"/>
        <d v="2007-01-01T00:00:00"/>
        <d v="2007-04-01T00:00:00"/>
        <d v="2007-07-01T00:00:00"/>
        <d v="2007-10-01T00:00:00"/>
        <d v="2008-01-01T00:00:00"/>
        <d v="2008-04-01T00:00:00"/>
        <d v="2008-07-01T00:00:00"/>
        <d v="2008-10-01T00:00:00"/>
        <d v="2009-01-01T00:00:00"/>
        <d v="2009-04-01T00:00:00"/>
        <d v="2009-07-01T00:00:00"/>
        <d v="2009-10-01T00:00:00"/>
        <d v="2010-01-01T00:00:00"/>
        <d v="2010-04-01T00:00:00"/>
        <d v="2010-07-01T00:00:00"/>
        <d v="2010-10-01T00:00:00"/>
        <d v="2011-01-01T00:00:00"/>
        <d v="2011-04-01T00:00:00"/>
        <d v="2011-07-01T00:00:00"/>
        <d v="2011-10-01T00:00:00"/>
        <d v="2012-01-01T00:00:00"/>
        <d v="2012-04-01T00:00:00"/>
        <d v="2012-07-01T00:00:00"/>
        <d v="2012-10-01T00:00:00"/>
        <d v="2013-01-01T00:00:00"/>
        <d v="2013-04-01T00:00:00"/>
        <d v="2013-07-01T00:00:00"/>
        <d v="2013-10-01T00:00:00"/>
        <d v="2014-01-01T00:00:00"/>
        <d v="2014-04-01T00:00:00"/>
        <d v="2014-07-01T00:00:00"/>
        <d v="2014-10-01T00:00:00"/>
        <d v="2015-01-01T00:00:00"/>
        <d v="2015-04-01T00:00:00"/>
        <d v="2015-07-01T00:00:00"/>
        <d v="2015-10-01T00:00:00"/>
        <d v="2016-01-01T00:00:00"/>
        <d v="2016-04-01T00:00:00"/>
        <d v="2016-07-01T00:00:00"/>
        <d v="2016-10-01T00:00:00"/>
        <d v="2017-01-01T00:00:00"/>
        <d v="2017-04-01T00:00:00"/>
        <d v="2017-07-01T00:00:00"/>
        <d v="2017-10-01T00:00:00"/>
        <d v="2018-01-01T00:00:00"/>
        <d v="2018-04-01T00:00:00"/>
        <d v="2018-07-01T00:00:00"/>
        <d v="2018-10-01T00:00:00"/>
        <d v="2019-01-01T00:00:00"/>
        <d v="2019-04-01T00:00:00"/>
        <d v="2019-07-01T00:00:00"/>
        <d v="2019-10-01T00:00:00"/>
        <d v="2020-01-01T00:00:00"/>
        <d v="2020-04-01T00:00:00"/>
        <d v="2020-07-01T00:00:00"/>
        <d v="2020-10-01T00:00:00"/>
        <d v="2021-01-01T00:00:00"/>
        <d v="2021-04-01T00:00:00"/>
        <d v="2021-07-01T00:00:00"/>
        <d v="2021-10-01T00:00:00"/>
        <d v="2022-01-01T00:00:00"/>
        <d v="2022-04-01T00:00:00"/>
        <d v="2022-07-01T00:00:00"/>
        <d v="2022-10-01T00:00:00"/>
        <d v="2023-01-01T00:00:00"/>
        <d v="2023-04-01T00:00:00"/>
        <d v="2023-07-01T00:00:00"/>
        <d v="2023-10-01T00:00:00"/>
        <d v="2024-01-01T00:00:00"/>
        <d v="2024-04-01T00:00:00"/>
        <d v="2024-07-01T00:00:00"/>
        <d v="2024-10-01T00:00:00"/>
        <d v="2025-01-01T00:00:00"/>
        <d v="2025-04-01T00:00:00"/>
        <d v="2025-07-01T00:00:00"/>
      </sharedItems>
      <fieldGroup par="33"/>
    </cacheField>
    <cacheField name="hpi_index" numFmtId="0">
      <sharedItems containsSemiMixedTypes="0" containsString="0" containsNumber="1" minValue="17.8" maxValue="154.4"/>
    </cacheField>
    <cacheField name="hpi_sa_index" numFmtId="0">
      <sharedItems containsString="0" containsBlank="1" containsNumber="1" minValue="53.2" maxValue="152.5"/>
    </cacheField>
    <cacheField name="cpi_index" numFmtId="0">
      <sharedItems containsString="0" containsBlank="1" containsNumber="1" minValue="63.4" maxValue="133.6"/>
    </cacheField>
    <cacheField name="cpi_method" numFmtId="0">
      <sharedItems/>
    </cacheField>
    <cacheField name="policy_rate_avg" numFmtId="0">
      <sharedItems containsSemiMixedTypes="0" containsString="0" containsNumber="1" minValue="1" maxValue="12.71551724137931"/>
    </cacheField>
    <cacheField name="policy_rate_end" numFmtId="0">
      <sharedItems containsSemiMixedTypes="0" containsString="0" containsNumber="1" minValue="1" maxValue="11"/>
    </cacheField>
    <cacheField name="policy_rate_min" numFmtId="0">
      <sharedItems containsSemiMixedTypes="0" containsString="0" containsNumber="1" minValue="1" maxValue="10"/>
    </cacheField>
    <cacheField name="policy_rate_max" numFmtId="0">
      <sharedItems containsSemiMixedTypes="0" containsString="0" containsNumber="1" minValue="1" maxValue="25"/>
    </cacheField>
    <cacheField name="policy_obs_count" numFmtId="0">
      <sharedItems containsSemiMixedTypes="0" containsString="0" containsNumber="1" containsInteger="1" minValue="57" maxValue="66"/>
    </cacheField>
    <cacheField name="policy_change_events" numFmtId="0">
      <sharedItems containsString="0" containsBlank="1" containsNumber="1" containsInteger="1" minValue="1" maxValue="7"/>
    </cacheField>
    <cacheField name="policy_delta_sum" numFmtId="0">
      <sharedItems containsString="0" containsBlank="1" containsNumber="1" minValue="-2.75" maxValue="3.5"/>
    </cacheField>
    <cacheField name="policy_delta_abs_sum" numFmtId="0">
      <sharedItems containsString="0" containsBlank="1" containsNumber="1" minValue="0.25" maxValue="30"/>
    </cacheField>
    <cacheField name="hpi_index_qoq_pct_part2" numFmtId="0">
      <sharedItems containsString="0" containsBlank="1" containsNumber="1" minValue="-7.0402298850574585" maxValue="8.0996884735202492"/>
    </cacheField>
    <cacheField name="hpi_index_yoy_pct_part2" numFmtId="0">
      <sharedItems containsString="0" containsBlank="1" containsNumber="1" minValue="-6.9064748201438819" maxValue="21.183800623052939"/>
    </cacheField>
    <cacheField name="hpi_sa_index_qoq_pct_part2" numFmtId="0">
      <sharedItems containsString="0" containsBlank="1" containsNumber="1" minValue="-4.6109510086455359" maxValue="4.7775947281713416"/>
    </cacheField>
    <cacheField name="hpi_sa_index_yoy_pct_part2" numFmtId="0">
      <sharedItems containsString="0" containsBlank="1" containsNumber="1" minValue="-6.891701828410679" maxValue="16.524701873935264"/>
    </cacheField>
    <cacheField name="cpi_yoy_pct_part2" numFmtId="0">
      <sharedItems containsString="0" containsBlank="1" containsNumber="1" minValue="0" maxValue="5.7708871662360162"/>
    </cacheField>
    <cacheField name="real_hpi_proxy_part2" numFmtId="0">
      <sharedItems containsString="0" containsBlank="1" containsNumber="1" minValue="0.27469135802469136" maxValue="1.1864820846905537"/>
    </cacheField>
    <cacheField name="real_hpi_sa_proxy_part2" numFmtId="0">
      <sharedItems containsString="0" containsBlank="1" containsNumber="1" minValue="0.64641555285540708" maxValue="1.1851851851851851"/>
    </cacheField>
    <cacheField name="hpi_qoq_pct" numFmtId="0">
      <sharedItems containsString="0" containsBlank="1" containsNumber="1" minValue="-7.0402298850574585" maxValue="8.0996884735202492"/>
    </cacheField>
    <cacheField name="hpi_yoy_pct" numFmtId="0">
      <sharedItems containsString="0" containsBlank="1" containsNumber="1" minValue="-6.9064748201438819" maxValue="21.183800623052939"/>
    </cacheField>
    <cacheField name="hpi_sa_qoq_pct" numFmtId="0">
      <sharedItems containsString="0" containsBlank="1" containsNumber="1" minValue="-4.6109510086455359" maxValue="4.7775947281713416"/>
    </cacheField>
    <cacheField name="hpi_sa_yoy_pct" numFmtId="0">
      <sharedItems containsString="0" containsBlank="1" containsNumber="1" minValue="-6.891701828410679" maxValue="16.524701873935264"/>
    </cacheField>
    <cacheField name="real_hpi_proxy" numFmtId="0">
      <sharedItems containsString="0" containsBlank="1" containsNumber="1" minValue="0.27469135802469136" maxValue="1.1864820846905537"/>
    </cacheField>
    <cacheField name="real_hpi_sa_proxy" numFmtId="0">
      <sharedItems containsString="0" containsBlank="1" containsNumber="1" minValue="0.64641555285540708" maxValue="1.1851851851851851"/>
    </cacheField>
    <cacheField name="real_hpi_proxy_yoy_pct" numFmtId="0">
      <sharedItems containsString="0" containsBlank="1" containsNumber="1" minValue="-10.291693917593204" maxValue="17.492108683542739"/>
    </cacheField>
    <cacheField name="key_boligtype_quarter" numFmtId="0">
      <sharedItems/>
    </cacheField>
    <cacheField name="decade" numFmtId="1">
      <sharedItems containsSemiMixedTypes="0" containsString="0" containsNumber="1" containsInteger="1" minValue="1990" maxValue="2020" count="4">
        <n v="1990"/>
        <n v="2000"/>
        <n v="2010"/>
        <n v="2020"/>
      </sharedItems>
    </cacheField>
    <cacheField name="Months (quarter_start)" numFmtId="0" databaseField="0">
      <fieldGroup base="2">
        <rangePr groupBy="months" startDate="1992-01-01T00:00:00" endDate="2025-07-02T00:00:00"/>
        <groupItems count="14">
          <s v="&lt;01/01/1992"/>
          <s v="Jan"/>
          <s v="Feb"/>
          <s v="Mar"/>
          <s v="Apr"/>
          <s v="May"/>
          <s v="Jun"/>
          <s v="Jul"/>
          <s v="Aug"/>
          <s v="Sep"/>
          <s v="Oct"/>
          <s v="Nov"/>
          <s v="Dec"/>
          <s v="&gt;02/07/2025"/>
        </groupItems>
      </fieldGroup>
    </cacheField>
    <cacheField name="Quarters (quarter_start)" numFmtId="0" databaseField="0">
      <fieldGroup base="2">
        <rangePr groupBy="quarters" startDate="1992-01-01T00:00:00" endDate="2025-07-02T00:00:00"/>
        <groupItems count="6">
          <s v="&lt;01/01/1992"/>
          <s v="Qtr1"/>
          <s v="Qtr2"/>
          <s v="Qtr3"/>
          <s v="Qtr4"/>
          <s v="&gt;02/07/2025"/>
        </groupItems>
      </fieldGroup>
    </cacheField>
    <cacheField name="Years (quarter_start)" numFmtId="0" databaseField="0">
      <fieldGroup base="2">
        <rangePr groupBy="years" startDate="1992-01-01T00:00:00" endDate="2025-07-02T00:00:00"/>
        <groupItems count="36">
          <s v="&lt;01/01/1992"/>
          <s v="1992"/>
          <s v="1993"/>
          <s v="1994"/>
          <s v="1995"/>
          <s v="1996"/>
          <s v="1997"/>
          <s v="1998"/>
          <s v="1999"/>
          <s v="2000"/>
          <s v="2001"/>
          <s v="2002"/>
          <s v="2003"/>
          <s v="2004"/>
          <s v="2005"/>
          <s v="2006"/>
          <s v="2007"/>
          <s v="2008"/>
          <s v="2009"/>
          <s v="2010"/>
          <s v="2011"/>
          <s v="2012"/>
          <s v="2013"/>
          <s v="2014"/>
          <s v="2015"/>
          <s v="2016"/>
          <s v="2017"/>
          <s v="2018"/>
          <s v="2019"/>
          <s v="2020"/>
          <s v="2021"/>
          <s v="2022"/>
          <s v="2023"/>
          <s v="2024"/>
          <s v="2025"/>
          <s v="&gt;02/07/2025"/>
        </groupItems>
      </fieldGroup>
    </cacheField>
  </cacheFields>
  <extLst>
    <ext xmlns:x14="http://schemas.microsoft.com/office/spreadsheetml/2009/9/main" uri="{725AE2AE-9491-48be-B2B4-4EB974FC3084}">
      <x14:pivotCacheDefinition pivotCacheId="659428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x v="0"/>
    <s v="1992Q1"/>
    <x v="0"/>
    <n v="18.8"/>
    <m/>
    <n v="63.4"/>
    <s v="annual_value_repeated_each_quarter"/>
    <n v="10"/>
    <n v="10"/>
    <n v="10"/>
    <n v="10"/>
    <n v="64"/>
    <m/>
    <m/>
    <m/>
    <m/>
    <m/>
    <m/>
    <m/>
    <m/>
    <n v="0.29652996845425872"/>
    <m/>
    <m/>
    <m/>
    <m/>
    <m/>
    <n v="0.29652996845425872"/>
    <m/>
    <m/>
    <s v="0|1992Q1"/>
    <x v="0"/>
  </r>
  <r>
    <x v="0"/>
    <s v="1992Q2"/>
    <x v="1"/>
    <n v="18.899999999999999"/>
    <m/>
    <n v="63.4"/>
    <s v="annual_value_repeated_each_quarter"/>
    <n v="10"/>
    <n v="10"/>
    <n v="10"/>
    <n v="10"/>
    <n v="65"/>
    <m/>
    <m/>
    <m/>
    <n v="0.53191489361701372"/>
    <m/>
    <m/>
    <m/>
    <m/>
    <n v="0.29810725552050471"/>
    <m/>
    <n v="0.53191489361701372"/>
    <m/>
    <m/>
    <m/>
    <n v="0.29810725552050471"/>
    <m/>
    <m/>
    <s v="0|1992Q2"/>
    <x v="0"/>
  </r>
  <r>
    <x v="0"/>
    <s v="1992Q3"/>
    <x v="2"/>
    <n v="19"/>
    <m/>
    <n v="63.4"/>
    <s v="annual_value_repeated_each_quarter"/>
    <n v="10.272727272727273"/>
    <n v="11"/>
    <n v="10"/>
    <n v="11"/>
    <n v="66"/>
    <n v="1"/>
    <n v="1"/>
    <n v="1"/>
    <n v="0.52910052910053462"/>
    <m/>
    <m/>
    <m/>
    <m/>
    <n v="0.29968454258675081"/>
    <m/>
    <n v="0.52910052910053462"/>
    <m/>
    <m/>
    <m/>
    <n v="0.29968454258675081"/>
    <m/>
    <m/>
    <s v="0|1992Q3"/>
    <x v="0"/>
  </r>
  <r>
    <x v="0"/>
    <s v="1992Q4"/>
    <x v="3"/>
    <n v="18.5"/>
    <m/>
    <n v="63.4"/>
    <s v="annual_value_repeated_each_quarter"/>
    <n v="12.71551724137931"/>
    <n v="11"/>
    <n v="10"/>
    <n v="25"/>
    <n v="58"/>
    <n v="7"/>
    <n v="0"/>
    <n v="30"/>
    <n v="-2.6315789473684181"/>
    <m/>
    <m/>
    <m/>
    <m/>
    <n v="0.29179810725552052"/>
    <m/>
    <n v="-2.6315789473684181"/>
    <m/>
    <m/>
    <m/>
    <n v="0.29179810725552052"/>
    <m/>
    <m/>
    <s v="0|1992Q4"/>
    <x v="0"/>
  </r>
  <r>
    <x v="0"/>
    <s v="1993Q1"/>
    <x v="4"/>
    <n v="17.8"/>
    <m/>
    <n v="64.8"/>
    <s v="annual_value_repeated_each_quarter"/>
    <n v="9.5436507936507944"/>
    <n v="8.75"/>
    <n v="8.75"/>
    <n v="11"/>
    <n v="63"/>
    <n v="7"/>
    <n v="-2.25"/>
    <n v="2.25"/>
    <n v="-3.7837837837837784"/>
    <n v="-5.3191489361702153"/>
    <m/>
    <m/>
    <n v="2.208201892744488"/>
    <n v="0.27469135802469136"/>
    <m/>
    <n v="-3.7837837837837784"/>
    <n v="-5.3191489361702153"/>
    <m/>
    <m/>
    <n v="0.27469135802469136"/>
    <m/>
    <n v="-7.3647228789072923"/>
    <s v="0|1993Q1"/>
    <x v="0"/>
  </r>
  <r>
    <x v="0"/>
    <s v="1993Q2"/>
    <x v="5"/>
    <n v="18.7"/>
    <m/>
    <n v="64.8"/>
    <s v="annual_value_repeated_each_quarter"/>
    <n v="7.8135593220338979"/>
    <n v="7.5"/>
    <n v="7.5"/>
    <n v="8.5"/>
    <n v="59"/>
    <n v="5"/>
    <n v="-1.25"/>
    <n v="1.25"/>
    <n v="5.0561797752809001"/>
    <n v="-1.0582010582010581"/>
    <m/>
    <m/>
    <n v="2.208201892744488"/>
    <n v="0.28858024691358025"/>
    <m/>
    <n v="5.0561797752809001"/>
    <n v="-1.0582010582010581"/>
    <m/>
    <m/>
    <n v="0.28858024691358025"/>
    <m/>
    <n v="-3.1958325168201629"/>
    <s v="0|1993Q2"/>
    <x v="0"/>
  </r>
  <r>
    <x v="0"/>
    <s v="1993Q3"/>
    <x v="6"/>
    <n v="19.399999999999999"/>
    <m/>
    <n v="64.8"/>
    <s v="annual_value_repeated_each_quarter"/>
    <n v="7.5"/>
    <n v="7.5"/>
    <n v="7.5"/>
    <n v="7.5"/>
    <n v="66"/>
    <m/>
    <m/>
    <m/>
    <n v="3.7433155080213831"/>
    <n v="2.1052631578947212"/>
    <m/>
    <m/>
    <n v="2.208201892744488"/>
    <n v="0.29938271604938271"/>
    <m/>
    <n v="3.7433155080213831"/>
    <n v="2.1052631578947212"/>
    <m/>
    <m/>
    <n v="0.29938271604938271"/>
    <m/>
    <n v="-0.10071474983756046"/>
    <s v="0|1993Q3"/>
    <x v="0"/>
  </r>
  <r>
    <x v="0"/>
    <s v="1993Q4"/>
    <x v="7"/>
    <n v="20"/>
    <m/>
    <n v="64.8"/>
    <s v="annual_value_repeated_each_quarter"/>
    <n v="7.0189393939393936"/>
    <n v="7"/>
    <n v="6.75"/>
    <n v="7.5"/>
    <n v="66"/>
    <n v="3"/>
    <n v="-0.5"/>
    <n v="1"/>
    <n v="3.0927835051546504"/>
    <n v="8.1081081081081141"/>
    <m/>
    <m/>
    <n v="2.208201892744488"/>
    <n v="0.30864197530864201"/>
    <m/>
    <n v="3.0927835051546504"/>
    <n v="8.1081081081081141"/>
    <m/>
    <m/>
    <n v="0.30864197530864201"/>
    <m/>
    <n v="5.7724391057724533"/>
    <s v="0|1993Q4"/>
    <x v="0"/>
  </r>
  <r>
    <x v="0"/>
    <s v="1994Q1"/>
    <x v="8"/>
    <n v="20.6"/>
    <m/>
    <n v="65.7"/>
    <s v="annual_value_repeated_each_quarter"/>
    <n v="6.8571428571428568"/>
    <n v="6.75"/>
    <n v="6.75"/>
    <n v="7"/>
    <n v="63"/>
    <n v="1"/>
    <n v="-0.25"/>
    <n v="0.25"/>
    <n v="3.0000000000000027"/>
    <n v="15.730337078651679"/>
    <m/>
    <m/>
    <n v="1.3888888888889062"/>
    <n v="0.31354642313546421"/>
    <m/>
    <n v="3.0000000000000027"/>
    <n v="15.730337078651679"/>
    <m/>
    <m/>
    <n v="0.31354642313546421"/>
    <m/>
    <n v="14.144989995382474"/>
    <s v="0|1994Q1"/>
    <x v="0"/>
  </r>
  <r>
    <x v="0"/>
    <s v="1994Q2"/>
    <x v="9"/>
    <n v="21.2"/>
    <m/>
    <n v="65.7"/>
    <s v="annual_value_repeated_each_quarter"/>
    <n v="6.75"/>
    <n v="6.75"/>
    <n v="6.75"/>
    <n v="6.75"/>
    <n v="60"/>
    <m/>
    <m/>
    <m/>
    <n v="2.9126213592232997"/>
    <n v="13.36898395721926"/>
    <m/>
    <m/>
    <n v="1.3888888888889062"/>
    <n v="0.32267884322678841"/>
    <m/>
    <n v="2.9126213592232997"/>
    <n v="13.36898395721926"/>
    <m/>
    <m/>
    <n v="0.32267884322678841"/>
    <m/>
    <n v="11.815984176983374"/>
    <s v="0|1994Q2"/>
    <x v="0"/>
  </r>
  <r>
    <x v="0"/>
    <s v="1994Q3"/>
    <x v="10"/>
    <n v="22.1"/>
    <m/>
    <n v="65.7"/>
    <s v="annual_value_repeated_each_quarter"/>
    <n v="6.75"/>
    <n v="6.75"/>
    <n v="6.75"/>
    <n v="6.75"/>
    <n v="66"/>
    <m/>
    <m/>
    <m/>
    <n v="4.2452830188679291"/>
    <n v="13.917525773195894"/>
    <m/>
    <m/>
    <n v="1.3888888888889062"/>
    <n v="0.33637747336377471"/>
    <m/>
    <n v="4.2452830188679291"/>
    <n v="13.917525773195894"/>
    <m/>
    <m/>
    <n v="0.33637747336377471"/>
    <m/>
    <n v="12.357011721508249"/>
    <s v="0|1994Q3"/>
    <x v="0"/>
  </r>
  <r>
    <x v="0"/>
    <s v="1994Q4"/>
    <x v="11"/>
    <n v="22"/>
    <m/>
    <n v="65.7"/>
    <s v="annual_value_repeated_each_quarter"/>
    <n v="6.75"/>
    <n v="6.75"/>
    <n v="6.75"/>
    <n v="6.75"/>
    <n v="64"/>
    <m/>
    <m/>
    <m/>
    <n v="-0.45248868778281492"/>
    <n v="10.000000000000009"/>
    <m/>
    <m/>
    <n v="1.3888888888889062"/>
    <n v="0.33485540334855401"/>
    <m/>
    <n v="-0.45248868778281492"/>
    <n v="10.000000000000009"/>
    <m/>
    <m/>
    <n v="0.33485540334855401"/>
    <m/>
    <n v="8.4931506849314822"/>
    <s v="0|1994Q4"/>
    <x v="0"/>
  </r>
  <r>
    <x v="0"/>
    <s v="1995Q1"/>
    <x v="12"/>
    <n v="22.1"/>
    <m/>
    <n v="67.3"/>
    <s v="annual_value_repeated_each_quarter"/>
    <n v="6.75"/>
    <n v="6.75"/>
    <n v="6.75"/>
    <n v="6.75"/>
    <n v="65"/>
    <m/>
    <m/>
    <m/>
    <n v="0.45454545454546302"/>
    <n v="7.2815533980582492"/>
    <m/>
    <m/>
    <n v="2.4353120243531201"/>
    <n v="0.32838038632986633"/>
    <m/>
    <n v="0.45454545454546302"/>
    <n v="7.2815533980582492"/>
    <m/>
    <m/>
    <n v="0.32838038632986633"/>
    <m/>
    <n v="4.7310261255932851"/>
    <s v="0|1995Q1"/>
    <x v="0"/>
  </r>
  <r>
    <x v="0"/>
    <s v="1995Q2"/>
    <x v="13"/>
    <n v="23"/>
    <m/>
    <n v="67.3"/>
    <s v="annual_value_repeated_each_quarter"/>
    <n v="6.75"/>
    <n v="6.75"/>
    <n v="6.75"/>
    <n v="6.75"/>
    <n v="58"/>
    <m/>
    <m/>
    <m/>
    <n v="4.0723981900452344"/>
    <n v="8.4905660377358583"/>
    <m/>
    <m/>
    <n v="2.4353120243531201"/>
    <n v="0.34175334323922735"/>
    <m/>
    <n v="4.0723981900452344"/>
    <n v="8.4905660377358583"/>
    <m/>
    <m/>
    <n v="0.34175334323922735"/>
    <m/>
    <n v="5.9112955227228259"/>
    <s v="0|1995Q2"/>
    <x v="0"/>
  </r>
  <r>
    <x v="0"/>
    <s v="1995Q3"/>
    <x v="14"/>
    <n v="23.4"/>
    <m/>
    <n v="67.3"/>
    <s v="annual_value_repeated_each_quarter"/>
    <n v="6.75"/>
    <n v="6.75"/>
    <n v="6.75"/>
    <n v="6.75"/>
    <n v="65"/>
    <m/>
    <m/>
    <m/>
    <n v="1.7391304347825987"/>
    <n v="5.8823529411764497"/>
    <m/>
    <m/>
    <n v="2.4353120243531201"/>
    <n v="0.3476968796433878"/>
    <m/>
    <n v="1.7391304347825987"/>
    <n v="5.8823529411764497"/>
    <m/>
    <m/>
    <n v="0.3476968796433878"/>
    <m/>
    <n v="3.3650904641202795"/>
    <s v="0|1995Q3"/>
    <x v="0"/>
  </r>
  <r>
    <x v="0"/>
    <s v="1995Q4"/>
    <x v="15"/>
    <n v="23.7"/>
    <m/>
    <n v="67.3"/>
    <s v="annual_value_repeated_each_quarter"/>
    <n v="6.75"/>
    <n v="6.75"/>
    <n v="6.75"/>
    <n v="6.75"/>
    <n v="63"/>
    <m/>
    <m/>
    <m/>
    <n v="1.2820512820512775"/>
    <n v="7.727272727272716"/>
    <m/>
    <m/>
    <n v="2.4353120243531201"/>
    <n v="0.3521545319465082"/>
    <m/>
    <n v="1.2820512820512775"/>
    <n v="7.727272727272716"/>
    <m/>
    <m/>
    <n v="0.3521545319465082"/>
    <m/>
    <n v="5.1661488585708737"/>
    <s v="0|1995Q4"/>
    <x v="0"/>
  </r>
  <r>
    <x v="0"/>
    <s v="1996Q1"/>
    <x v="16"/>
    <n v="23.9"/>
    <m/>
    <n v="68.2"/>
    <s v="annual_value_repeated_each_quarter"/>
    <n v="6.6875"/>
    <n v="6.5"/>
    <n v="6.5"/>
    <n v="6.75"/>
    <n v="64"/>
    <n v="1"/>
    <n v="-0.25"/>
    <n v="0.25"/>
    <n v="0.84388185654007408"/>
    <n v="8.1447963800904901"/>
    <m/>
    <m/>
    <n v="1.3372956909361244"/>
    <n v="0.35043988269794718"/>
    <m/>
    <n v="0.84388185654007408"/>
    <n v="8.1447963800904901"/>
    <m/>
    <m/>
    <n v="0.35043988269794718"/>
    <m/>
    <n v="6.7176656360716791"/>
    <s v="0|1996Q1"/>
    <x v="0"/>
  </r>
  <r>
    <x v="0"/>
    <s v="1996Q2"/>
    <x v="17"/>
    <n v="25"/>
    <m/>
    <n v="68.2"/>
    <s v="annual_value_repeated_each_quarter"/>
    <n v="6.5"/>
    <n v="6.5"/>
    <n v="6.5"/>
    <n v="6.5"/>
    <n v="58"/>
    <m/>
    <m/>
    <m/>
    <n v="4.6025104602510414"/>
    <n v="8.6956521739130377"/>
    <m/>
    <m/>
    <n v="1.3372956909361244"/>
    <n v="0.36656891495601174"/>
    <m/>
    <n v="4.6025104602510414"/>
    <n v="8.6956521739130377"/>
    <m/>
    <m/>
    <n v="0.36656891495601174"/>
    <m/>
    <n v="7.2612520719112617"/>
    <s v="0|1996Q2"/>
    <x v="0"/>
  </r>
  <r>
    <x v="0"/>
    <s v="1996Q3"/>
    <x v="18"/>
    <n v="25.5"/>
    <m/>
    <n v="68.2"/>
    <s v="annual_value_repeated_each_quarter"/>
    <n v="6.5"/>
    <n v="6.5"/>
    <n v="6.5"/>
    <n v="6.5"/>
    <n v="66"/>
    <m/>
    <m/>
    <m/>
    <n v="2.0000000000000018"/>
    <n v="8.9743589743589869"/>
    <m/>
    <m/>
    <n v="1.3372956909361244"/>
    <n v="0.37390029325513197"/>
    <m/>
    <n v="2.0000000000000018"/>
    <n v="8.9743589743589869"/>
    <m/>
    <m/>
    <n v="0.37390029325513197"/>
    <m/>
    <n v="7.5362809233777028"/>
    <s v="0|1996Q3"/>
    <x v="0"/>
  </r>
  <r>
    <x v="0"/>
    <s v="1996Q4"/>
    <x v="19"/>
    <n v="26.1"/>
    <m/>
    <n v="68.2"/>
    <s v="annual_value_repeated_each_quarter"/>
    <n v="6.209677419354839"/>
    <n v="6"/>
    <n v="6"/>
    <n v="6.5"/>
    <n v="62"/>
    <n v="1"/>
    <n v="-0.5"/>
    <n v="0.5"/>
    <n v="2.3529411764706021"/>
    <n v="10.126582278481022"/>
    <m/>
    <m/>
    <n v="1.3372956909361244"/>
    <n v="0.38269794721407624"/>
    <m/>
    <n v="2.3529411764706021"/>
    <n v="10.126582278481022"/>
    <m/>
    <m/>
    <n v="0.38269794721407624"/>
    <m/>
    <n v="8.6732989346300684"/>
    <s v="0|1996Q4"/>
    <x v="0"/>
  </r>
  <r>
    <x v="0"/>
    <s v="1997Q1"/>
    <x v="20"/>
    <n v="26.5"/>
    <m/>
    <n v="69.900000000000006"/>
    <s v="annual_value_repeated_each_quarter"/>
    <n v="5.3166666666666664"/>
    <n v="5.25"/>
    <n v="5.25"/>
    <n v="6"/>
    <n v="60"/>
    <n v="2"/>
    <n v="-0.75"/>
    <n v="0.75"/>
    <n v="1.5325670498084198"/>
    <n v="10.878661087866126"/>
    <m/>
    <m/>
    <n v="2.4926686217008776"/>
    <n v="0.37911301859799712"/>
    <m/>
    <n v="1.5325670498084198"/>
    <n v="10.878661087866126"/>
    <m/>
    <m/>
    <n v="0.37911301859799712"/>
    <m/>
    <n v="8.1820412903071293"/>
    <s v="0|1997Q1"/>
    <x v="0"/>
  </r>
  <r>
    <x v="0"/>
    <s v="1997Q2"/>
    <x v="21"/>
    <n v="28.4"/>
    <m/>
    <n v="69.900000000000006"/>
    <s v="annual_value_repeated_each_quarter"/>
    <n v="5.25"/>
    <n v="5.25"/>
    <n v="5.25"/>
    <n v="5.25"/>
    <n v="62"/>
    <m/>
    <m/>
    <m/>
    <n v="7.1698113207547154"/>
    <n v="13.599999999999991"/>
    <m/>
    <m/>
    <n v="2.4926686217008776"/>
    <n v="0.40629470672389123"/>
    <m/>
    <n v="7.1698113207547154"/>
    <n v="13.599999999999991"/>
    <m/>
    <m/>
    <n v="0.40629470672389123"/>
    <m/>
    <n v="10.837195994277526"/>
    <s v="0|1997Q2"/>
    <x v="0"/>
  </r>
  <r>
    <x v="0"/>
    <s v="1997Q3"/>
    <x v="22"/>
    <n v="28.6"/>
    <m/>
    <n v="69.900000000000006"/>
    <s v="annual_value_repeated_each_quarter"/>
    <n v="5.458333333333333"/>
    <n v="5.5"/>
    <n v="5.25"/>
    <n v="5.5"/>
    <n v="66"/>
    <n v="1"/>
    <n v="0.25"/>
    <n v="0.25"/>
    <n v="0.70422535211267512"/>
    <n v="12.15686274509804"/>
    <m/>
    <m/>
    <n v="2.4926686217008776"/>
    <n v="0.40915593705293274"/>
    <m/>
    <n v="0.70422535211267512"/>
    <n v="12.15686274509804"/>
    <m/>
    <m/>
    <n v="0.40915593705293274"/>
    <m/>
    <n v="9.4291564980784734"/>
    <s v="0|1997Q3"/>
    <x v="0"/>
  </r>
  <r>
    <x v="0"/>
    <s v="1997Q4"/>
    <x v="23"/>
    <n v="29"/>
    <m/>
    <n v="69.900000000000006"/>
    <s v="annual_value_repeated_each_quarter"/>
    <n v="5.5"/>
    <n v="5.5"/>
    <n v="5.5"/>
    <n v="5.5"/>
    <n v="64"/>
    <m/>
    <m/>
    <m/>
    <n v="1.3986013986013957"/>
    <n v="11.111111111111116"/>
    <m/>
    <m/>
    <n v="2.4926686217008776"/>
    <n v="0.4148783977110157"/>
    <m/>
    <n v="1.3986013986013957"/>
    <n v="11.111111111111116"/>
    <m/>
    <m/>
    <n v="0.4148783977110157"/>
    <m/>
    <n v="8.4088380225719295"/>
    <s v="0|1997Q4"/>
    <x v="0"/>
  </r>
  <r>
    <x v="0"/>
    <s v="1998Q1"/>
    <x v="24"/>
    <n v="30.2"/>
    <m/>
    <n v="71.5"/>
    <s v="annual_value_repeated_each_quarter"/>
    <n v="5.5357142857142856"/>
    <n v="5.75"/>
    <n v="5.5"/>
    <n v="5.75"/>
    <n v="63"/>
    <n v="1"/>
    <n v="0.25"/>
    <n v="0.25"/>
    <n v="4.1379310344827669"/>
    <n v="13.962264150943394"/>
    <m/>
    <m/>
    <n v="2.2889842632331847"/>
    <n v="0.42237762237762239"/>
    <m/>
    <n v="4.1379310344827669"/>
    <n v="13.962264150943394"/>
    <m/>
    <m/>
    <n v="0.42237762237762239"/>
    <m/>
    <n v="11.412059638474737"/>
    <s v="0|1998Q1"/>
    <x v="0"/>
  </r>
  <r>
    <x v="0"/>
    <s v="1998Q2"/>
    <x v="25"/>
    <n v="32.1"/>
    <m/>
    <n v="71.5"/>
    <s v="annual_value_repeated_each_quarter"/>
    <n v="5.9788135593220337"/>
    <n v="6.5"/>
    <n v="5.75"/>
    <n v="6.5"/>
    <n v="59"/>
    <n v="2"/>
    <n v="0.75"/>
    <n v="0.75"/>
    <n v="6.29139072847682"/>
    <n v="13.028169014084522"/>
    <m/>
    <m/>
    <n v="2.2889842632331847"/>
    <n v="0.44895104895104898"/>
    <m/>
    <n v="6.29139072847682"/>
    <n v="13.028169014084522"/>
    <m/>
    <m/>
    <n v="0.44895104895104898"/>
    <m/>
    <n v="10.498867329853256"/>
    <s v="0|1998Q2"/>
    <x v="0"/>
  </r>
  <r>
    <x v="0"/>
    <s v="1998Q3"/>
    <x v="26"/>
    <n v="31.8"/>
    <m/>
    <n v="71.5"/>
    <s v="annual_value_repeated_each_quarter"/>
    <n v="8.3181818181818183"/>
    <n v="10"/>
    <n v="6.5"/>
    <n v="10"/>
    <n v="66"/>
    <n v="4"/>
    <n v="3.5"/>
    <n v="3.5"/>
    <n v="-0.93457943925233655"/>
    <n v="11.188811188811187"/>
    <m/>
    <m/>
    <n v="2.2889842632331847"/>
    <n v="0.44475524475524475"/>
    <m/>
    <n v="-0.93457943925233655"/>
    <n v="11.188811188811187"/>
    <m/>
    <m/>
    <n v="0.44475524475524475"/>
    <m/>
    <n v="8.7006699594112327"/>
    <s v="0|1998Q3"/>
    <x v="0"/>
  </r>
  <r>
    <x v="0"/>
    <s v="1998Q4"/>
    <x v="27"/>
    <n v="30.9"/>
    <m/>
    <n v="71.5"/>
    <s v="annual_value_repeated_each_quarter"/>
    <n v="10"/>
    <n v="10"/>
    <n v="10"/>
    <n v="10"/>
    <n v="65"/>
    <m/>
    <m/>
    <m/>
    <n v="-2.8301886792452935"/>
    <n v="6.5517241379310365"/>
    <m/>
    <m/>
    <n v="2.2889842632331847"/>
    <n v="0.43216783216783217"/>
    <m/>
    <n v="-2.8301886792452935"/>
    <n v="6.5517241379310365"/>
    <m/>
    <m/>
    <n v="0.43216783216783217"/>
    <m/>
    <n v="4.1673498914878371"/>
    <s v="0|1998Q4"/>
    <x v="0"/>
  </r>
  <r>
    <x v="0"/>
    <s v="1999Q1"/>
    <x v="28"/>
    <n v="32.1"/>
    <m/>
    <n v="73.2"/>
    <s v="annual_value_repeated_each_quarter"/>
    <n v="9.4761904761904763"/>
    <n v="9"/>
    <n v="9"/>
    <n v="10"/>
    <n v="63"/>
    <n v="2"/>
    <n v="-1"/>
    <n v="1"/>
    <n v="3.8834951456310662"/>
    <n v="6.29139072847682"/>
    <m/>
    <m/>
    <n v="2.3776223776223793"/>
    <n v="0.43852459016393441"/>
    <m/>
    <n v="3.8834951456310662"/>
    <n v="6.29139072847682"/>
    <m/>
    <m/>
    <n v="0.43852459016393441"/>
    <m/>
    <n v="3.8228748235805021"/>
    <s v="0|1999Q1"/>
    <x v="0"/>
  </r>
  <r>
    <x v="0"/>
    <s v="1999Q2"/>
    <x v="29"/>
    <n v="34.700000000000003"/>
    <m/>
    <n v="73.2"/>
    <s v="annual_value_repeated_each_quarter"/>
    <n v="8.5338983050847457"/>
    <n v="8"/>
    <n v="8"/>
    <n v="9"/>
    <n v="59"/>
    <n v="2"/>
    <n v="-1"/>
    <n v="1"/>
    <n v="8.0996884735202492"/>
    <n v="8.0996884735202492"/>
    <m/>
    <m/>
    <n v="2.3776223776223793"/>
    <n v="0.47404371584699456"/>
    <m/>
    <n v="8.0996884735202492"/>
    <n v="8.0996884735202492"/>
    <m/>
    <m/>
    <n v="0.47404371584699456"/>
    <m/>
    <n v="5.5891765827417617"/>
    <s v="0|1999Q2"/>
    <x v="0"/>
  </r>
  <r>
    <x v="0"/>
    <s v="1999Q3"/>
    <x v="30"/>
    <n v="35.4"/>
    <m/>
    <n v="73.2"/>
    <s v="annual_value_repeated_each_quarter"/>
    <n v="7.9545454545454541"/>
    <n v="7.5"/>
    <n v="7.5"/>
    <n v="8"/>
    <n v="66"/>
    <n v="1"/>
    <n v="-0.5"/>
    <n v="0.5"/>
    <n v="2.0172910662824117"/>
    <n v="11.32075471698113"/>
    <m/>
    <m/>
    <n v="2.3776223776223793"/>
    <n v="0.48360655737704916"/>
    <m/>
    <n v="2.0172910662824117"/>
    <n v="11.32075471698113"/>
    <m/>
    <m/>
    <n v="0.48360655737704916"/>
    <m/>
    <n v="8.7354366429528874"/>
    <s v="0|1999Q3"/>
    <x v="0"/>
  </r>
  <r>
    <x v="0"/>
    <s v="1999Q4"/>
    <x v="31"/>
    <n v="36.700000000000003"/>
    <m/>
    <n v="73.2"/>
    <s v="annual_value_repeated_each_quarter"/>
    <n v="7.5"/>
    <n v="7.5"/>
    <n v="7.5"/>
    <n v="7.5"/>
    <n v="66"/>
    <m/>
    <m/>
    <m/>
    <n v="3.672316384180796"/>
    <n v="18.77022653721685"/>
    <m/>
    <m/>
    <n v="2.3776223776223793"/>
    <n v="0.50136612021857929"/>
    <m/>
    <n v="3.672316384180796"/>
    <n v="18.77022653721685"/>
    <m/>
    <m/>
    <n v="0.50136612021857929"/>
    <m/>
    <n v="16.011901603975474"/>
    <s v="0|1999Q4"/>
    <x v="0"/>
  </r>
  <r>
    <x v="0"/>
    <s v="2000Q1"/>
    <x v="32"/>
    <n v="38.9"/>
    <m/>
    <n v="75.5"/>
    <s v="annual_value_repeated_each_quarter"/>
    <n v="7.5"/>
    <n v="7.5"/>
    <n v="7.5"/>
    <n v="7.5"/>
    <n v="65"/>
    <m/>
    <m/>
    <m/>
    <n v="5.9945504087193235"/>
    <n v="21.183800623052939"/>
    <m/>
    <m/>
    <n v="3.1420765027322384"/>
    <n v="0.51523178807947023"/>
    <m/>
    <n v="5.9945504087193235"/>
    <n v="21.183800623052939"/>
    <m/>
    <m/>
    <n v="0.51523178807947023"/>
    <m/>
    <n v="17.492108683542739"/>
    <s v="0|2000Q1"/>
    <x v="1"/>
  </r>
  <r>
    <x v="0"/>
    <s v="2000Q2"/>
    <x v="33"/>
    <n v="41.5"/>
    <m/>
    <n v="75.5"/>
    <s v="annual_value_repeated_each_quarter"/>
    <n v="7.818965517241379"/>
    <n v="8.25"/>
    <n v="7.5"/>
    <n v="8.25"/>
    <n v="58"/>
    <n v="2"/>
    <n v="0.75"/>
    <n v="0.75"/>
    <n v="6.6838046272493568"/>
    <n v="19.596541786743504"/>
    <m/>
    <m/>
    <n v="3.1420765027322384"/>
    <n v="0.54966887417218546"/>
    <m/>
    <n v="6.6838046272493568"/>
    <n v="19.596541786743504"/>
    <m/>
    <m/>
    <n v="0.54966887417218546"/>
    <m/>
    <n v="15.953203427677165"/>
    <s v="0|2000Q2"/>
    <x v="1"/>
  </r>
  <r>
    <x v="0"/>
    <s v="2000Q3"/>
    <x v="34"/>
    <n v="40.299999999999997"/>
    <m/>
    <n v="75.5"/>
    <s v="annual_value_repeated_each_quarter"/>
    <n v="8.5615384615384613"/>
    <n v="9"/>
    <n v="8.25"/>
    <n v="9"/>
    <n v="65"/>
    <n v="2"/>
    <n v="0.75"/>
    <n v="0.75"/>
    <n v="-2.8915662650602525"/>
    <n v="13.841807909604519"/>
    <m/>
    <m/>
    <n v="3.1420765027322384"/>
    <n v="0.53377483443708607"/>
    <m/>
    <n v="-2.8915662650602525"/>
    <n v="13.841807909604519"/>
    <m/>
    <m/>
    <n v="0.53377483443708607"/>
    <m/>
    <n v="10.373779324278809"/>
    <s v="0|2000Q3"/>
    <x v="1"/>
  </r>
  <r>
    <x v="0"/>
    <s v="2000Q4"/>
    <x v="35"/>
    <n v="40.299999999999997"/>
    <m/>
    <n v="75.5"/>
    <s v="annual_value_repeated_each_quarter"/>
    <n v="9"/>
    <n v="9"/>
    <n v="9"/>
    <n v="9"/>
    <n v="63"/>
    <m/>
    <m/>
    <m/>
    <n v="0"/>
    <n v="9.809264305177102"/>
    <m/>
    <m/>
    <n v="3.1420765027322384"/>
    <n v="0.53377483443708607"/>
    <m/>
    <n v="0"/>
    <n v="9.809264305177102"/>
    <m/>
    <m/>
    <n v="0.53377483443708607"/>
    <m/>
    <n v="6.46408141905912"/>
    <s v="0|2000Q4"/>
    <x v="1"/>
  </r>
  <r>
    <x v="0"/>
    <s v="2001Q1"/>
    <x v="36"/>
    <n v="41.7"/>
    <m/>
    <n v="77.7"/>
    <s v="annual_value_repeated_each_quarter"/>
    <n v="9"/>
    <n v="9"/>
    <n v="9"/>
    <n v="9"/>
    <n v="61"/>
    <m/>
    <m/>
    <m/>
    <n v="3.473945409429291"/>
    <n v="7.1979434447300816"/>
    <m/>
    <m/>
    <n v="2.9139072847682135"/>
    <n v="0.53667953667953672"/>
    <m/>
    <n v="3.473945409429291"/>
    <n v="7.1979434447300816"/>
    <m/>
    <m/>
    <n v="0.53667953667953672"/>
    <m/>
    <n v="4.1627378388303882"/>
    <s v="0|2001Q1"/>
    <x v="1"/>
  </r>
  <r>
    <x v="0"/>
    <s v="2001Q2"/>
    <x v="37"/>
    <n v="43.5"/>
    <m/>
    <n v="77.7"/>
    <s v="annual_value_repeated_each_quarter"/>
    <n v="9"/>
    <n v="9"/>
    <n v="9"/>
    <n v="9"/>
    <n v="58"/>
    <m/>
    <m/>
    <m/>
    <n v="4.3165467625899234"/>
    <n v="4.8192771084337283"/>
    <m/>
    <m/>
    <n v="2.9139072847682135"/>
    <n v="0.55984555984555984"/>
    <m/>
    <n v="4.3165467625899234"/>
    <n v="4.8192771084337283"/>
    <m/>
    <m/>
    <n v="0.55984555984555984"/>
    <m/>
    <n v="1.8514211285295623"/>
    <s v="0|2001Q2"/>
    <x v="1"/>
  </r>
  <r>
    <x v="0"/>
    <s v="2001Q3"/>
    <x v="38"/>
    <n v="43.5"/>
    <m/>
    <n v="77.7"/>
    <s v="annual_value_repeated_each_quarter"/>
    <n v="9"/>
    <n v="9"/>
    <n v="9"/>
    <n v="9"/>
    <n v="65"/>
    <m/>
    <m/>
    <m/>
    <n v="0"/>
    <n v="7.9404466501240778"/>
    <m/>
    <m/>
    <n v="2.9139072847682135"/>
    <n v="0.55984555984555984"/>
    <m/>
    <n v="0"/>
    <n v="7.9404466501240778"/>
    <m/>
    <m/>
    <n v="0.55984555984555984"/>
    <m/>
    <n v="4.8842177874435899"/>
    <s v="0|2001Q3"/>
    <x v="1"/>
  </r>
  <r>
    <x v="0"/>
    <s v="2001Q4"/>
    <x v="39"/>
    <n v="43.4"/>
    <m/>
    <n v="77.7"/>
    <s v="annual_value_repeated_each_quarter"/>
    <n v="8.9140625"/>
    <n v="8.5"/>
    <n v="8.5"/>
    <n v="9"/>
    <n v="64"/>
    <n v="1"/>
    <n v="-0.5"/>
    <n v="0.5"/>
    <n v="-0.22988505747126853"/>
    <n v="7.6923076923076872"/>
    <m/>
    <m/>
    <n v="2.9139072847682135"/>
    <n v="0.55855855855855852"/>
    <m/>
    <n v="-0.22988505747126853"/>
    <n v="7.6923076923076872"/>
    <m/>
    <m/>
    <n v="0.55855855855855852"/>
    <m/>
    <n v="4.6431046431046452"/>
    <s v="0|2001Q4"/>
    <x v="1"/>
  </r>
  <r>
    <x v="0"/>
    <s v="2002Q1"/>
    <x v="40"/>
    <n v="44.8"/>
    <m/>
    <n v="78.7"/>
    <s v="annual_value_repeated_each_quarter"/>
    <n v="8.5"/>
    <n v="8.5"/>
    <n v="8.5"/>
    <n v="8.5"/>
    <n v="61"/>
    <m/>
    <m/>
    <m/>
    <n v="3.2258064516129004"/>
    <n v="7.434052757793741"/>
    <m/>
    <m/>
    <n v="1.287001287001277"/>
    <n v="0.56925031766200762"/>
    <m/>
    <n v="3.2258064516129004"/>
    <n v="7.434052757793741"/>
    <m/>
    <m/>
    <n v="0.56925031766200762"/>
    <m/>
    <n v="6.0689440823453067"/>
    <s v="0|2002Q1"/>
    <x v="1"/>
  </r>
  <r>
    <x v="0"/>
    <s v="2002Q2"/>
    <x v="41"/>
    <n v="46.4"/>
    <m/>
    <n v="78.7"/>
    <s v="annual_value_repeated_each_quarter"/>
    <n v="8.5"/>
    <n v="8.5"/>
    <n v="8.5"/>
    <n v="8.5"/>
    <n v="60"/>
    <m/>
    <m/>
    <m/>
    <n v="3.5714285714285809"/>
    <n v="6.6666666666666652"/>
    <m/>
    <m/>
    <n v="1.287001287001277"/>
    <n v="0.58958068614993642"/>
    <m/>
    <n v="3.5714285714285809"/>
    <n v="6.6666666666666652"/>
    <m/>
    <m/>
    <n v="0.58958068614993642"/>
    <m/>
    <n v="5.3113087674714121"/>
    <s v="0|2002Q2"/>
    <x v="1"/>
  </r>
  <r>
    <x v="0"/>
    <s v="2002Q3"/>
    <x v="42"/>
    <n v="44.9"/>
    <m/>
    <n v="78.7"/>
    <s v="annual_value_repeated_each_quarter"/>
    <n v="8.9772727272727266"/>
    <n v="9"/>
    <n v="8.5"/>
    <n v="9"/>
    <n v="66"/>
    <n v="1"/>
    <n v="0.5"/>
    <n v="0.5"/>
    <n v="-3.2327586206896575"/>
    <n v="3.2183908045976928"/>
    <m/>
    <m/>
    <n v="1.287001287001277"/>
    <n v="0.5705209656925031"/>
    <m/>
    <n v="-3.2327586206896575"/>
    <n v="3.2183908045976928"/>
    <m/>
    <m/>
    <n v="0.5705209656925031"/>
    <m/>
    <n v="1.9068483547298731"/>
    <s v="0|2002Q3"/>
    <x v="1"/>
  </r>
  <r>
    <x v="0"/>
    <s v="2002Q4"/>
    <x v="43"/>
    <n v="44.6"/>
    <m/>
    <n v="78.7"/>
    <s v="annual_value_repeated_each_quarter"/>
    <n v="8.90625"/>
    <n v="8.5"/>
    <n v="8.5"/>
    <n v="9"/>
    <n v="64"/>
    <n v="1"/>
    <n v="-0.5"/>
    <n v="0.5"/>
    <n v="-0.66815144766146917"/>
    <n v="2.7649769585253559"/>
    <m/>
    <m/>
    <n v="1.287001287001277"/>
    <n v="0.56670902160101655"/>
    <m/>
    <n v="-0.66815144766146917"/>
    <n v="2.7649769585253559"/>
    <m/>
    <m/>
    <n v="0.56670902160101655"/>
    <m/>
    <n v="1.4591958027626584"/>
    <s v="0|2002Q4"/>
    <x v="1"/>
  </r>
  <r>
    <x v="0"/>
    <s v="2003Q1"/>
    <x v="44"/>
    <n v="45.6"/>
    <m/>
    <n v="80.7"/>
    <s v="annual_value_repeated_each_quarter"/>
    <n v="7.9761904761904763"/>
    <n v="7.5"/>
    <n v="7.5"/>
    <n v="8.5"/>
    <n v="63"/>
    <n v="2"/>
    <n v="-1"/>
    <n v="1"/>
    <n v="2.2421524663677195"/>
    <n v="1.7857142857143016"/>
    <m/>
    <m/>
    <n v="2.5412960609911162"/>
    <n v="0.56505576208178443"/>
    <m/>
    <n v="2.2421524663677195"/>
    <n v="1.7857142857143016"/>
    <m/>
    <m/>
    <n v="0.56505576208178443"/>
    <m/>
    <n v="-0.73685608072224795"/>
    <s v="0|2003Q1"/>
    <x v="1"/>
  </r>
  <r>
    <x v="0"/>
    <s v="2003Q2"/>
    <x v="45"/>
    <n v="45.9"/>
    <m/>
    <n v="80.7"/>
    <s v="annual_value_repeated_each_quarter"/>
    <n v="7.0964912280701755"/>
    <n v="6"/>
    <n v="6"/>
    <n v="7.5"/>
    <n v="57"/>
    <n v="2"/>
    <n v="-1.5"/>
    <n v="1.5"/>
    <n v="0.65789473684210176"/>
    <n v="-1.0775862068965525"/>
    <m/>
    <m/>
    <n v="2.5412960609911162"/>
    <n v="0.56877323420074344"/>
    <m/>
    <n v="0.65789473684210176"/>
    <n v="-1.0775862068965525"/>
    <m/>
    <m/>
    <n v="0.56877323420074344"/>
    <m/>
    <n v="-3.5291949750032026"/>
    <s v="0|2003Q2"/>
    <x v="1"/>
  </r>
  <r>
    <x v="0"/>
    <s v="2003Q3"/>
    <x v="46"/>
    <n v="45.8"/>
    <m/>
    <n v="80.7"/>
    <s v="annual_value_repeated_each_quarter"/>
    <n v="5.4015151515151514"/>
    <n v="4.5"/>
    <n v="4.5"/>
    <n v="6"/>
    <n v="66"/>
    <n v="2"/>
    <n v="-1.5"/>
    <n v="1.5"/>
    <n v="-0.21786492374727962"/>
    <n v="2.0044543429843964"/>
    <m/>
    <m/>
    <n v="2.5412960609911162"/>
    <n v="0.56753407682775703"/>
    <m/>
    <n v="-0.21786492374727962"/>
    <n v="2.0044543429843964"/>
    <m/>
    <m/>
    <n v="0.56753407682775703"/>
    <m/>
    <n v="-0.52353709054681064"/>
    <s v="0|2003Q3"/>
    <x v="1"/>
  </r>
  <r>
    <x v="0"/>
    <s v="2003Q4"/>
    <x v="47"/>
    <n v="46.4"/>
    <m/>
    <n v="80.7"/>
    <s v="annual_value_repeated_each_quarter"/>
    <n v="4.475806451612903"/>
    <n v="4.25"/>
    <n v="4.25"/>
    <n v="4.5"/>
    <n v="62"/>
    <n v="1"/>
    <n v="-0.25"/>
    <n v="0.25"/>
    <n v="1.3100436681222849"/>
    <n v="4.0358744394618729"/>
    <m/>
    <m/>
    <n v="2.5412960609911162"/>
    <n v="0.57496902106567527"/>
    <m/>
    <n v="1.3100436681222849"/>
    <n v="4.0358744394618729"/>
    <m/>
    <m/>
    <n v="0.57496902106567527"/>
    <m/>
    <n v="1.4575380221270029"/>
    <s v="0|2003Q4"/>
    <x v="1"/>
  </r>
  <r>
    <x v="0"/>
    <s v="2004Q1"/>
    <x v="48"/>
    <n v="49.8"/>
    <m/>
    <n v="81"/>
    <s v="annual_value_repeated_each_quarter"/>
    <n v="4.01953125"/>
    <n v="3.75"/>
    <n v="3.75"/>
    <n v="4.25"/>
    <n v="64"/>
    <n v="2"/>
    <n v="-0.5"/>
    <n v="0.5"/>
    <n v="7.3275862068965525"/>
    <n v="9.210526315789469"/>
    <m/>
    <m/>
    <n v="0.37174721189590088"/>
    <n v="0.61481481481481481"/>
    <m/>
    <n v="7.3275862068965525"/>
    <n v="9.210526315789469"/>
    <m/>
    <m/>
    <n v="0.61481481481481481"/>
    <m/>
    <n v="8.8060428849902515"/>
    <s v="0|2004Q1"/>
    <x v="1"/>
  </r>
  <r>
    <x v="0"/>
    <s v="2004Q2"/>
    <x v="49"/>
    <n v="50.6"/>
    <m/>
    <n v="81"/>
    <s v="annual_value_repeated_each_quarter"/>
    <n v="3.75"/>
    <n v="3.75"/>
    <n v="3.75"/>
    <n v="3.75"/>
    <n v="59"/>
    <m/>
    <m/>
    <m/>
    <n v="1.6064257028112428"/>
    <n v="10.239651416122019"/>
    <m/>
    <m/>
    <n v="0.37174721189590088"/>
    <n v="0.62469135802469133"/>
    <m/>
    <n v="1.6064257028112428"/>
    <n v="10.239651416122019"/>
    <m/>
    <m/>
    <n v="0.62469135802469133"/>
    <m/>
    <n v="9.8313564108771132"/>
    <s v="0|2004Q2"/>
    <x v="1"/>
  </r>
  <r>
    <x v="0"/>
    <s v="2004Q3"/>
    <x v="50"/>
    <n v="50.7"/>
    <m/>
    <n v="81"/>
    <s v="annual_value_repeated_each_quarter"/>
    <n v="3.75"/>
    <n v="3.75"/>
    <n v="3.75"/>
    <n v="3.75"/>
    <n v="66"/>
    <m/>
    <m/>
    <m/>
    <n v="0.19762845849802257"/>
    <n v="10.698689956331897"/>
    <m/>
    <m/>
    <n v="0.37174721189590088"/>
    <n v="0.625925925925926"/>
    <m/>
    <n v="0.19762845849802257"/>
    <n v="10.698689956331897"/>
    <m/>
    <m/>
    <n v="0.625925925925926"/>
    <m/>
    <n v="10.28869480834549"/>
    <s v="0|2004Q3"/>
    <x v="1"/>
  </r>
  <r>
    <x v="0"/>
    <s v="2004Q4"/>
    <x v="51"/>
    <n v="51.3"/>
    <m/>
    <n v="81"/>
    <s v="annual_value_repeated_each_quarter"/>
    <n v="3.75"/>
    <n v="3.75"/>
    <n v="3.75"/>
    <n v="3.75"/>
    <n v="64"/>
    <m/>
    <m/>
    <m/>
    <n v="1.1834319526627057"/>
    <n v="10.56034482758621"/>
    <m/>
    <m/>
    <n v="0.37174721189590088"/>
    <n v="0.6333333333333333"/>
    <m/>
    <n v="1.1834319526627057"/>
    <n v="10.56034482758621"/>
    <m/>
    <m/>
    <n v="0.6333333333333333"/>
    <m/>
    <n v="10.150862068965516"/>
    <s v="0|2004Q4"/>
    <x v="1"/>
  </r>
  <r>
    <x v="0"/>
    <s v="2005Q1"/>
    <x v="52"/>
    <n v="53.4"/>
    <n v="53.2"/>
    <n v="82.3"/>
    <s v="annual_value_repeated_each_quarter"/>
    <n v="3.75"/>
    <n v="3.75"/>
    <n v="3.75"/>
    <n v="3.75"/>
    <n v="61"/>
    <m/>
    <m/>
    <m/>
    <n v="4.0935672514619936"/>
    <n v="7.2289156626506035"/>
    <m/>
    <m/>
    <n v="1.6049382716049276"/>
    <n v="0.6488456865127582"/>
    <n v="0.64641555285540708"/>
    <n v="4.0935672514619936"/>
    <n v="7.2289156626506035"/>
    <m/>
    <m/>
    <n v="0.6488456865127582"/>
    <n v="0.64641555285540708"/>
    <n v="5.5351417821956073"/>
    <s v="0|2005Q1"/>
    <x v="1"/>
  </r>
  <r>
    <x v="0"/>
    <s v="2005Q2"/>
    <x v="53"/>
    <n v="54.9"/>
    <n v="54"/>
    <n v="82.3"/>
    <s v="annual_value_repeated_each_quarter"/>
    <n v="3.75"/>
    <n v="3.75"/>
    <n v="3.75"/>
    <n v="3.75"/>
    <n v="62"/>
    <m/>
    <m/>
    <m/>
    <n v="2.8089887640449396"/>
    <n v="8.498023715415016"/>
    <n v="1.5037593984962294"/>
    <m/>
    <n v="1.6049382716049276"/>
    <n v="0.66707168894289182"/>
    <n v="0.65613608748481167"/>
    <n v="2.8089887640449396"/>
    <n v="8.498023715415016"/>
    <n v="1.5037593984962294"/>
    <m/>
    <n v="0.66707168894289182"/>
    <n v="0.65613608748481167"/>
    <n v="6.7842031707000761"/>
    <s v="0|2005Q2"/>
    <x v="1"/>
  </r>
  <r>
    <x v="0"/>
    <s v="2005Q3"/>
    <x v="54"/>
    <n v="55.4"/>
    <n v="55.2"/>
    <n v="82.3"/>
    <s v="annual_value_repeated_each_quarter"/>
    <n v="4"/>
    <n v="4"/>
    <n v="4"/>
    <n v="4"/>
    <n v="66"/>
    <n v="1"/>
    <n v="0.25"/>
    <n v="0.25"/>
    <n v="0.91074681238616506"/>
    <n v="9.2702169625246356"/>
    <n v="2.2222222222222365"/>
    <m/>
    <n v="1.6049382716049276"/>
    <n v="0.67314702308626972"/>
    <n v="0.67071688942891861"/>
    <n v="0.91074681238616506"/>
    <n v="9.2702169625246356"/>
    <n v="2.2222222222222365"/>
    <m/>
    <n v="0.67314702308626972"/>
    <n v="0.67071688942891861"/>
    <n v="7.5441989546111365"/>
    <s v="0|2005Q3"/>
    <x v="1"/>
  </r>
  <r>
    <x v="0"/>
    <s v="2005Q4"/>
    <x v="55"/>
    <n v="55.4"/>
    <n v="56.8"/>
    <n v="82.3"/>
    <s v="annual_value_repeated_each_quarter"/>
    <n v="4.16015625"/>
    <n v="4.25"/>
    <n v="4"/>
    <n v="4.25"/>
    <n v="64"/>
    <n v="1"/>
    <n v="0.25"/>
    <n v="0.25"/>
    <n v="0"/>
    <n v="7.9922027290448394"/>
    <n v="2.8985507246376718"/>
    <m/>
    <n v="1.6049382716049276"/>
    <n v="0.67314702308626972"/>
    <n v="0.69015795868772778"/>
    <n v="0"/>
    <n v="7.9922027290448394"/>
    <n v="2.8985507246376718"/>
    <m/>
    <n v="0.67314702308626972"/>
    <n v="0.69015795868772778"/>
    <n v="6.2863720662531097"/>
    <s v="0|2005Q4"/>
    <x v="1"/>
  </r>
  <r>
    <x v="0"/>
    <s v="2006Q1"/>
    <x v="56"/>
    <n v="58.9"/>
    <n v="58.7"/>
    <n v="84.2"/>
    <s v="annual_value_repeated_each_quarter"/>
    <n v="4.2923076923076922"/>
    <n v="4.5"/>
    <n v="4.25"/>
    <n v="4.5"/>
    <n v="65"/>
    <n v="1"/>
    <n v="0.25"/>
    <n v="0.25"/>
    <n v="6.3176895306859215"/>
    <n v="10.299625468164786"/>
    <n v="3.3450704225352235"/>
    <n v="10.338345864661648"/>
    <n v="2.3086269744835963"/>
    <n v="0.6995249406175772"/>
    <n v="0.69714964370546317"/>
    <n v="6.3176895306859215"/>
    <n v="10.299625468164786"/>
    <n v="3.3450704225352235"/>
    <n v="10.338345864661648"/>
    <n v="0.6995249406175772"/>
    <n v="0.69714964370546317"/>
    <n v="7.8106790502370904"/>
    <s v="0|2006Q1"/>
    <x v="1"/>
  </r>
  <r>
    <x v="0"/>
    <s v="2006Q2"/>
    <x v="57"/>
    <n v="61.8"/>
    <n v="60.7"/>
    <n v="84.2"/>
    <s v="annual_value_repeated_each_quarter"/>
    <n v="4.5905172413793105"/>
    <n v="4.75"/>
    <n v="4.5"/>
    <n v="4.75"/>
    <n v="58"/>
    <n v="1"/>
    <n v="0.25"/>
    <n v="0.25"/>
    <n v="4.9235993208828432"/>
    <n v="12.568306010928953"/>
    <n v="3.4071550255536653"/>
    <n v="12.407407407407423"/>
    <n v="2.3086269744835963"/>
    <n v="0.73396674584323029"/>
    <n v="0.72090261282660328"/>
    <n v="4.9235993208828432"/>
    <n v="12.568306010928953"/>
    <n v="3.4071550255536653"/>
    <n v="12.407407407407423"/>
    <n v="0.73396674584323029"/>
    <n v="0.72090261282660328"/>
    <n v="10.028166089067136"/>
    <s v="0|2006Q2"/>
    <x v="1"/>
  </r>
  <r>
    <x v="0"/>
    <s v="2006Q3"/>
    <x v="58"/>
    <n v="63.8"/>
    <n v="63.6"/>
    <n v="84.2"/>
    <s v="annual_value_repeated_each_quarter"/>
    <n v="4.8730769230769226"/>
    <n v="5"/>
    <n v="4.75"/>
    <n v="5"/>
    <n v="65"/>
    <n v="1"/>
    <n v="0.25"/>
    <n v="0.25"/>
    <n v="3.2362459546925626"/>
    <n v="15.162454873646203"/>
    <n v="4.7775947281713416"/>
    <n v="15.217391304347828"/>
    <n v="2.3086269744835963"/>
    <n v="0.75771971496437052"/>
    <n v="0.75534441805225649"/>
    <n v="3.2362459546925626"/>
    <n v="15.162454873646203"/>
    <n v="4.7775947281713416"/>
    <n v="15.217391304347828"/>
    <n v="0.75771971496437052"/>
    <n v="0.75534441805225649"/>
    <n v="12.563777150844224"/>
    <s v="0|2006Q3"/>
    <x v="1"/>
  </r>
  <r>
    <x v="0"/>
    <s v="2006Q4"/>
    <x v="59"/>
    <n v="64.599999999999994"/>
    <n v="66.099999999999994"/>
    <n v="84.2"/>
    <s v="annual_value_repeated_each_quarter"/>
    <n v="5.1984126984126986"/>
    <n v="5.5"/>
    <n v="5"/>
    <n v="5.5"/>
    <n v="63"/>
    <n v="2"/>
    <n v="0.5"/>
    <n v="0.5"/>
    <n v="1.2539184952978122"/>
    <n v="16.606498194945839"/>
    <n v="3.9308176100628867"/>
    <n v="16.373239436619723"/>
    <n v="2.3086269744835963"/>
    <n v="0.76722090261282649"/>
    <n v="0.78503562945368166"/>
    <n v="1.2539184952978122"/>
    <n v="16.606498194945839"/>
    <n v="3.9308176100628867"/>
    <n v="16.373239436619723"/>
    <n v="0.76722090261282649"/>
    <n v="0.78503562945368166"/>
    <n v="13.975235171544442"/>
    <s v="0|2006Q4"/>
    <x v="1"/>
  </r>
  <r>
    <x v="0"/>
    <s v="2007Q1"/>
    <x v="60"/>
    <n v="68.599999999999994"/>
    <n v="68.400000000000006"/>
    <n v="84.8"/>
    <s v="annual_value_repeated_each_quarter"/>
    <n v="5.5546875"/>
    <n v="5"/>
    <n v="5"/>
    <n v="5.75"/>
    <n v="64"/>
    <n v="2"/>
    <n v="-0.5"/>
    <n v="1"/>
    <n v="6.1919504643962897"/>
    <n v="16.468590831918494"/>
    <n v="3.4795763993948681"/>
    <n v="16.524701873935264"/>
    <n v="0.71258907363420665"/>
    <n v="0.80896226415094341"/>
    <n v="0.80660377358490576"/>
    <n v="6.1919504643962897"/>
    <n v="16.468590831918494"/>
    <n v="3.4795763993948681"/>
    <n v="16.524701873935264"/>
    <n v="0.80896226415094341"/>
    <n v="0.80660377358490576"/>
    <n v="15.644520613768131"/>
    <s v="0|2007Q1"/>
    <x v="1"/>
  </r>
  <r>
    <x v="0"/>
    <s v="2007Q2"/>
    <x v="61"/>
    <n v="71.2"/>
    <n v="70"/>
    <n v="84.8"/>
    <s v="annual_value_repeated_each_quarter"/>
    <n v="5.101694915254237"/>
    <n v="5.5"/>
    <n v="5"/>
    <n v="5.5"/>
    <n v="59"/>
    <n v="2"/>
    <n v="0.5"/>
    <n v="0.5"/>
    <n v="3.7900874635568682"/>
    <n v="15.210355987055024"/>
    <n v="2.3391812865497075"/>
    <n v="15.321252059308076"/>
    <n v="0.71258907363420665"/>
    <n v="0.839622641509434"/>
    <n v="0.82547169811320753"/>
    <n v="3.7900874635568682"/>
    <n v="15.210355987055024"/>
    <n v="2.3391812865497075"/>
    <n v="15.321252059308076"/>
    <n v="0.839622641509434"/>
    <n v="0.82547169811320753"/>
    <n v="14.395188373939071"/>
    <s v="0|2007Q2"/>
    <x v="1"/>
  </r>
  <r>
    <x v="0"/>
    <s v="2007Q3"/>
    <x v="62"/>
    <n v="71.099999999999994"/>
    <n v="70.900000000000006"/>
    <n v="84.8"/>
    <s v="annual_value_repeated_each_quarter"/>
    <n v="5.6307692307692312"/>
    <n v="6"/>
    <n v="5.5"/>
    <n v="6"/>
    <n v="65"/>
    <n v="2"/>
    <n v="0.5"/>
    <n v="0.5"/>
    <n v="-0.14044943820226141"/>
    <n v="11.442006269592465"/>
    <n v="1.28571428571429"/>
    <n v="11.477987421383663"/>
    <n v="0.71258907363420665"/>
    <n v="0.83844339622641506"/>
    <n v="0.83608490566037741"/>
    <n v="-0.14044943820226141"/>
    <n v="11.442006269592465"/>
    <n v="1.28571428571429"/>
    <n v="11.477987421383663"/>
    <n v="0.83844339622641506"/>
    <n v="0.83608490566037741"/>
    <n v="10.653501508251018"/>
    <s v="0|2007Q3"/>
    <x v="1"/>
  </r>
  <r>
    <x v="0"/>
    <s v="2007Q4"/>
    <x v="63"/>
    <n v="69.5"/>
    <n v="71.099999999999994"/>
    <n v="84.8"/>
    <s v="annual_value_repeated_each_quarter"/>
    <n v="6.0396825396825395"/>
    <n v="6.25"/>
    <n v="6"/>
    <n v="6.25"/>
    <n v="63"/>
    <n v="1"/>
    <n v="0.25"/>
    <n v="0.25"/>
    <n v="-2.2503516174402161"/>
    <n v="7.5851393188854477"/>
    <n v="0.28208744710858102"/>
    <n v="7.5642965204236079"/>
    <n v="0.71258907363420665"/>
    <n v="0.81957547169811329"/>
    <n v="0.83844339622641506"/>
    <n v="-2.2503516174402161"/>
    <n v="7.5851393188854477"/>
    <n v="0.28208744710858102"/>
    <n v="7.5642965204236079"/>
    <n v="0.81957547169811329"/>
    <n v="0.83844339622641506"/>
    <n v="6.8239237104971373"/>
    <s v="0|2007Q4"/>
    <x v="1"/>
  </r>
  <r>
    <x v="0"/>
    <s v="2008Q1"/>
    <x v="64"/>
    <n v="71.099999999999994"/>
    <n v="71"/>
    <n v="88"/>
    <s v="annual_value_repeated_each_quarter"/>
    <n v="6.25"/>
    <n v="6.25"/>
    <n v="6.25"/>
    <n v="6.25"/>
    <n v="61"/>
    <m/>
    <m/>
    <m/>
    <n v="2.302158273381294"/>
    <n v="3.6443148688046545"/>
    <n v="-0.14064697609000865"/>
    <n v="3.8011695906432719"/>
    <n v="3.7735849056603765"/>
    <n v="0.80795454545454537"/>
    <n v="0.80681818181818177"/>
    <n v="2.302158273381294"/>
    <n v="3.6443148688046545"/>
    <n v="-0.14064697609000865"/>
    <n v="3.8011695906432719"/>
    <n v="0.80795454545454537"/>
    <n v="0.80681818181818177"/>
    <n v="-0.12456930824279455"/>
    <s v="0|2008Q1"/>
    <x v="1"/>
  </r>
  <r>
    <x v="0"/>
    <s v="2008Q2"/>
    <x v="65"/>
    <n v="72"/>
    <n v="70.7"/>
    <n v="88"/>
    <s v="annual_value_repeated_each_quarter"/>
    <n v="6.4444444444444446"/>
    <n v="6.75"/>
    <n v="6.25"/>
    <n v="6.75"/>
    <n v="63"/>
    <n v="2"/>
    <n v="0.5"/>
    <n v="0.5"/>
    <n v="1.2658227848101333"/>
    <n v="1.1235955056179803"/>
    <n v="-0.42253521126760507"/>
    <n v="1.0000000000000009"/>
    <n v="3.7735849056603765"/>
    <n v="0.81818181818181823"/>
    <n v="0.80340909090909096"/>
    <n v="1.2658227848101333"/>
    <n v="1.1235955056179803"/>
    <n v="-0.42253521126760507"/>
    <n v="1.0000000000000009"/>
    <n v="0.81818181818181823"/>
    <n v="0.80340909090909096"/>
    <n v="-2.5536261491317602"/>
    <s v="0|2008Q2"/>
    <x v="1"/>
  </r>
  <r>
    <x v="0"/>
    <s v="2008Q3"/>
    <x v="66"/>
    <n v="69.599999999999994"/>
    <n v="69.400000000000006"/>
    <n v="88"/>
    <s v="annual_value_repeated_each_quarter"/>
    <n v="6.75"/>
    <n v="6.75"/>
    <n v="6.75"/>
    <n v="6.75"/>
    <n v="66"/>
    <m/>
    <m/>
    <m/>
    <n v="-3.3333333333333437"/>
    <n v="-2.1097046413502074"/>
    <n v="-1.8387553041018356"/>
    <n v="-2.1156558533145242"/>
    <n v="3.7735849056603765"/>
    <n v="0.79090909090909089"/>
    <n v="0.78863636363636369"/>
    <n v="-3.3333333333333437"/>
    <n v="-2.1097046413502074"/>
    <n v="-1.8387553041018356"/>
    <n v="-2.1156558533145242"/>
    <n v="0.79090909090909089"/>
    <n v="0.78863636363636369"/>
    <n v="-5.6693517453011104"/>
    <s v="0|2008Q3"/>
    <x v="1"/>
  </r>
  <r>
    <x v="0"/>
    <s v="2008Q4"/>
    <x v="67"/>
    <n v="64.7"/>
    <n v="66.2"/>
    <n v="88"/>
    <s v="annual_value_repeated_each_quarter"/>
    <n v="5.8095238095238093"/>
    <n v="4"/>
    <n v="4"/>
    <n v="6.75"/>
    <n v="63"/>
    <n v="3"/>
    <n v="-2.75"/>
    <n v="2.75"/>
    <n v="-7.0402298850574585"/>
    <n v="-6.9064748201438819"/>
    <n v="-4.6109510086455359"/>
    <n v="-6.891701828410679"/>
    <n v="3.7735849056603765"/>
    <n v="0.73522727272727273"/>
    <n v="0.75227272727272732"/>
    <n v="-7.0402298850574585"/>
    <n v="-6.9064748201438819"/>
    <n v="-4.6109510086455359"/>
    <n v="-6.891701828410679"/>
    <n v="0.73522727272727273"/>
    <n v="0.75227272727272732"/>
    <n v="-10.291693917593204"/>
    <s v="0|2008Q4"/>
    <x v="1"/>
  </r>
  <r>
    <x v="0"/>
    <s v="2009Q1"/>
    <x v="68"/>
    <n v="67.400000000000006"/>
    <n v="67.3"/>
    <n v="89.9"/>
    <s v="annual_value_repeated_each_quarter"/>
    <n v="3.6587301587301586"/>
    <n v="3"/>
    <n v="3"/>
    <n v="4"/>
    <n v="63"/>
    <n v="2"/>
    <n v="-1"/>
    <n v="1"/>
    <n v="4.173106646058744"/>
    <n v="-5.2039381153305087"/>
    <n v="1.6616314199395577"/>
    <n v="-5.2112676056338074"/>
    <n v="2.1590909090909216"/>
    <n v="0.74972191323692994"/>
    <n v="0.74860956618464958"/>
    <n v="4.173106646058744"/>
    <n v="-5.2039381153305087"/>
    <n v="1.6616314199395577"/>
    <n v="-5.2112676056338074"/>
    <n v="0.74972191323692994"/>
    <n v="0.74860956618464958"/>
    <n v="-7.2074143954292014"/>
    <s v="0|2009Q1"/>
    <x v="1"/>
  </r>
  <r>
    <x v="0"/>
    <s v="2009Q2"/>
    <x v="69"/>
    <n v="70.900000000000006"/>
    <n v="69.599999999999994"/>
    <n v="89.9"/>
    <s v="annual_value_repeated_each_quarter"/>
    <n v="2.6483050847457625"/>
    <n v="2.25"/>
    <n v="2.25"/>
    <n v="3"/>
    <n v="59"/>
    <n v="2"/>
    <n v="-0.75"/>
    <n v="0.75"/>
    <n v="5.1928783382789279"/>
    <n v="-1.5277777777777724"/>
    <n v="3.4175334323922613"/>
    <n v="-1.5558698727015652"/>
    <n v="2.1590909090909216"/>
    <n v="0.78865406006674088"/>
    <n v="0.77419354838709664"/>
    <n v="5.1928783382789279"/>
    <n v="-1.5277777777777724"/>
    <n v="3.4175334323922613"/>
    <n v="-1.5558698727015652"/>
    <n v="0.78865406006674088"/>
    <n v="0.77419354838709664"/>
    <n v="-3.6089482140650109"/>
    <s v="0|2009Q2"/>
    <x v="1"/>
  </r>
  <r>
    <x v="0"/>
    <s v="2009Q3"/>
    <x v="70"/>
    <n v="72.2"/>
    <n v="72"/>
    <n v="89.9"/>
    <s v="annual_value_repeated_each_quarter"/>
    <n v="2.25"/>
    <n v="2.25"/>
    <n v="2.25"/>
    <n v="2.25"/>
    <n v="66"/>
    <m/>
    <m/>
    <m/>
    <n v="1.833568406205921"/>
    <n v="3.7356321839080664"/>
    <n v="3.4482758620689724"/>
    <n v="3.7463976945244948"/>
    <n v="2.1590909090909216"/>
    <n v="0.8031145717463849"/>
    <n v="0.80088987764182418"/>
    <n v="1.833568406205921"/>
    <n v="3.7356321839080664"/>
    <n v="3.4482758620689724"/>
    <n v="3.7463976945244948"/>
    <n v="0.8031145717463849"/>
    <n v="0.80088987764182418"/>
    <n v="1.5432217150601613"/>
    <s v="0|2009Q3"/>
    <x v="1"/>
  </r>
  <r>
    <x v="0"/>
    <s v="2009Q4"/>
    <x v="71"/>
    <n v="72.2"/>
    <n v="73.8"/>
    <n v="89.9"/>
    <s v="annual_value_repeated_each_quarter"/>
    <n v="2.45703125"/>
    <n v="2.75"/>
    <n v="2.25"/>
    <n v="2.75"/>
    <n v="64"/>
    <n v="2"/>
    <n v="0.5"/>
    <n v="0.5"/>
    <n v="0"/>
    <n v="11.591962905718711"/>
    <n v="2.4999999999999911"/>
    <n v="11.480362537764343"/>
    <n v="2.1590909090909216"/>
    <n v="0.8031145717463849"/>
    <n v="0.82091212458286977"/>
    <n v="0"/>
    <n v="11.591962905718711"/>
    <n v="2.4999999999999911"/>
    <n v="11.480362537764343"/>
    <n v="0.8031145717463849"/>
    <n v="0.82091212458286977"/>
    <n v="9.2335120767880632"/>
    <s v="0|2009Q4"/>
    <x v="1"/>
  </r>
  <r>
    <x v="0"/>
    <s v="2010Q1"/>
    <x v="72"/>
    <n v="74.599999999999994"/>
    <n v="74.7"/>
    <n v="92.1"/>
    <s v="annual_value_repeated_each_quarter"/>
    <n v="2.75"/>
    <n v="2.75"/>
    <n v="2.75"/>
    <n v="2.75"/>
    <n v="63"/>
    <m/>
    <m/>
    <m/>
    <n v="3.3240997229916802"/>
    <n v="10.682492581602364"/>
    <n v="1.2195121951219523"/>
    <n v="10.995542347696885"/>
    <n v="2.4471635150166815"/>
    <n v="0.80998914223669927"/>
    <n v="0.81107491856677527"/>
    <n v="3.3240997229916802"/>
    <n v="10.682492581602364"/>
    <n v="1.2195121951219523"/>
    <n v="10.995542347696885"/>
    <n v="0.80998914223669927"/>
    <n v="0.81107491856677527"/>
    <n v="8.038611108426208"/>
    <s v="0|2010Q1"/>
    <x v="2"/>
  </r>
  <r>
    <x v="0"/>
    <s v="2010Q2"/>
    <x v="73"/>
    <n v="77.400000000000006"/>
    <n v="75.900000000000006"/>
    <n v="92.1"/>
    <s v="annual_value_repeated_each_quarter"/>
    <n v="2.906779661016949"/>
    <n v="3"/>
    <n v="2.75"/>
    <n v="3"/>
    <n v="59"/>
    <n v="1"/>
    <n v="0.25"/>
    <n v="0.25"/>
    <n v="3.7533512064343411"/>
    <n v="9.1678420310296271"/>
    <n v="1.6064257028112428"/>
    <n v="9.0517241379310498"/>
    <n v="2.4471635150166815"/>
    <n v="0.84039087947882751"/>
    <n v="0.82410423452768744"/>
    <n v="3.7533512064343411"/>
    <n v="9.1678420310296271"/>
    <n v="1.6064257028112428"/>
    <n v="9.0517241379310498"/>
    <n v="0.84039087947882751"/>
    <n v="0.82410423452768744"/>
    <n v="6.5601411356087214"/>
    <s v="0|2010Q2"/>
    <x v="2"/>
  </r>
  <r>
    <x v="0"/>
    <s v="2010Q3"/>
    <x v="74"/>
    <n v="77"/>
    <n v="76.8"/>
    <n v="92.1"/>
    <s v="annual_value_repeated_each_quarter"/>
    <n v="3"/>
    <n v="3"/>
    <n v="3"/>
    <n v="3"/>
    <n v="66"/>
    <m/>
    <m/>
    <m/>
    <n v="-0.51679586563307955"/>
    <n v="6.6481994459833826"/>
    <n v="1.1857707509881354"/>
    <n v="6.6666666666666652"/>
    <n v="2.4471635150166815"/>
    <n v="0.83604777415852338"/>
    <n v="0.83387622149837137"/>
    <n v="-0.51679586563307955"/>
    <n v="6.6481994459833826"/>
    <n v="1.1857707509881354"/>
    <n v="6.6666666666666652"/>
    <n v="0.83604777415852338"/>
    <n v="0.83387622149837137"/>
    <n v="4.1006854527025682"/>
    <s v="0|2010Q3"/>
    <x v="2"/>
  </r>
  <r>
    <x v="0"/>
    <s v="2010Q4"/>
    <x v="75"/>
    <n v="76.900000000000006"/>
    <n v="78.599999999999994"/>
    <n v="92.1"/>
    <s v="annual_value_repeated_each_quarter"/>
    <n v="3"/>
    <n v="3"/>
    <n v="3"/>
    <n v="3"/>
    <n v="65"/>
    <m/>
    <m/>
    <m/>
    <n v="-0.12987012987012436"/>
    <n v="6.5096952908587191"/>
    <n v="2.34375"/>
    <n v="6.5040650406503975"/>
    <n v="2.4471635150166815"/>
    <n v="0.83496199782844749"/>
    <n v="0.85342019543973946"/>
    <n v="-0.12987012987012436"/>
    <n v="6.5096952908587191"/>
    <n v="2.34375"/>
    <n v="6.5040650406503975"/>
    <n v="0.83496199782844749"/>
    <n v="0.85342019543973946"/>
    <n v="3.9654897573094594"/>
    <s v="0|2010Q4"/>
    <x v="2"/>
  </r>
  <r>
    <x v="0"/>
    <s v="2011Q1"/>
    <x v="76"/>
    <n v="80.900000000000006"/>
    <n v="80.900000000000006"/>
    <n v="93.3"/>
    <s v="annual_value_repeated_each_quarter"/>
    <n v="3"/>
    <n v="3"/>
    <n v="3"/>
    <n v="3"/>
    <n v="64"/>
    <m/>
    <m/>
    <m/>
    <n v="5.2015604681404426"/>
    <n v="8.4450402144772276"/>
    <n v="2.9262086513994978"/>
    <n v="8.2998661311914468"/>
    <n v="1.3029315960912058"/>
    <n v="0.86709539121114687"/>
    <n v="0.86709539121114687"/>
    <n v="5.2015604681404426"/>
    <n v="8.4450402144772276"/>
    <n v="2.9262086513994978"/>
    <n v="8.2998661311914468"/>
    <n v="0.86709539121114687"/>
    <n v="0.86709539121114687"/>
    <n v="7.0502487004646452"/>
    <s v="0|2011Q1"/>
    <x v="2"/>
  </r>
  <r>
    <x v="0"/>
    <s v="2011Q2"/>
    <x v="77"/>
    <n v="83.1"/>
    <n v="81.5"/>
    <n v="93.3"/>
    <s v="annual_value_repeated_each_quarter"/>
    <n v="3.1355932203389831"/>
    <n v="3.25"/>
    <n v="3"/>
    <n v="3.25"/>
    <n v="59"/>
    <n v="1"/>
    <n v="0.25"/>
    <n v="0.25"/>
    <n v="2.7194066749072876"/>
    <n v="7.3643410852713087"/>
    <n v="0.74165636588379158"/>
    <n v="7.3781291172595465"/>
    <n v="1.3029315960912058"/>
    <n v="0.89067524115755625"/>
    <n v="0.87352625937834949"/>
    <n v="2.7194066749072876"/>
    <n v="7.3643410852713087"/>
    <n v="0.74165636588379158"/>
    <n v="7.3781291172595465"/>
    <n v="0.89067524115755625"/>
    <n v="0.87352625937834949"/>
    <n v="5.9834492385153926"/>
    <s v="0|2011Q2"/>
    <x v="2"/>
  </r>
  <r>
    <x v="0"/>
    <s v="2011Q3"/>
    <x v="78"/>
    <n v="83.4"/>
    <n v="83.2"/>
    <n v="93.3"/>
    <s v="annual_value_repeated_each_quarter"/>
    <n v="3.25"/>
    <n v="3.25"/>
    <n v="3.25"/>
    <n v="3.25"/>
    <n v="66"/>
    <m/>
    <m/>
    <m/>
    <n v="0.36101083032491488"/>
    <n v="8.3116883116883145"/>
    <n v="2.0858895705521574"/>
    <n v="8.3333333333333481"/>
    <n v="1.3029315960912058"/>
    <n v="0.89389067524115762"/>
    <n v="0.89174705251875674"/>
    <n v="0.36101083032491488"/>
    <n v="8.3116883116883145"/>
    <n v="2.0858895705521574"/>
    <n v="8.3333333333333481"/>
    <n v="0.89389067524115762"/>
    <n v="0.89174705251875674"/>
    <n v="6.9186119346891006"/>
    <s v="0|2011Q3"/>
    <x v="2"/>
  </r>
  <r>
    <x v="0"/>
    <s v="2011Q4"/>
    <x v="79"/>
    <n v="83"/>
    <n v="84.8"/>
    <n v="93.3"/>
    <s v="annual_value_repeated_each_quarter"/>
    <n v="3.1640625"/>
    <n v="2.75"/>
    <n v="2.75"/>
    <n v="3.25"/>
    <n v="64"/>
    <n v="1"/>
    <n v="-0.5"/>
    <n v="0.5"/>
    <n v="-0.47961630695444457"/>
    <n v="7.9323797139141616"/>
    <n v="1.9230769230769162"/>
    <n v="7.8880407124682028"/>
    <n v="1.3029315960912058"/>
    <n v="0.88960342979635587"/>
    <n v="0.90889603429796351"/>
    <n v="-0.47961630695444457"/>
    <n v="7.9323797139141616"/>
    <n v="1.9230769230769162"/>
    <n v="7.8880407124682028"/>
    <n v="0.88960342979635587"/>
    <n v="0.90889603429796351"/>
    <n v="6.5441819040888971"/>
    <s v="0|2011Q4"/>
    <x v="2"/>
  </r>
  <r>
    <x v="0"/>
    <s v="2012Q1"/>
    <x v="80"/>
    <n v="86"/>
    <n v="86.1"/>
    <n v="93.9"/>
    <s v="annual_value_repeated_each_quarter"/>
    <n v="2.703846153846154"/>
    <n v="2.5"/>
    <n v="2.5"/>
    <n v="2.75"/>
    <n v="65"/>
    <n v="1"/>
    <n v="-0.25"/>
    <n v="0.25"/>
    <n v="3.6144578313253017"/>
    <n v="6.3040791100123617"/>
    <n v="1.5330188679245182"/>
    <n v="6.4276885043263121"/>
    <n v="0.64308681672027301"/>
    <n v="0.91586794462193821"/>
    <n v="0.91693290734824273"/>
    <n v="3.6144578313253017"/>
    <n v="6.3040791100123617"/>
    <n v="1.5330188679245182"/>
    <n v="6.4276885043263121"/>
    <n v="0.91586794462193821"/>
    <n v="0.91693290734824273"/>
    <n v="5.6248198185745668"/>
    <s v="0|2012Q1"/>
    <x v="2"/>
  </r>
  <r>
    <x v="0"/>
    <s v="2012Q2"/>
    <x v="81"/>
    <n v="88.8"/>
    <n v="87.1"/>
    <n v="93.9"/>
    <s v="annual_value_repeated_each_quarter"/>
    <n v="2.5"/>
    <n v="2.5"/>
    <n v="2.5"/>
    <n v="2.5"/>
    <n v="59"/>
    <m/>
    <m/>
    <m/>
    <n v="3.2558139534883734"/>
    <n v="6.8592057761732939"/>
    <n v="1.1614401858304202"/>
    <n v="6.8711656441717617"/>
    <n v="0.64308681672027301"/>
    <n v="0.94568690095846641"/>
    <n v="0.92758253461128848"/>
    <n v="3.2558139534883734"/>
    <n v="6.8592057761732939"/>
    <n v="1.1614401858304202"/>
    <n v="6.8711656441717617"/>
    <n v="0.94568690095846641"/>
    <n v="0.92758253461128848"/>
    <n v="6.1763993494884595"/>
    <s v="0|2012Q2"/>
    <x v="2"/>
  </r>
  <r>
    <x v="0"/>
    <s v="2012Q3"/>
    <x v="82"/>
    <n v="89.3"/>
    <n v="89"/>
    <n v="93.9"/>
    <s v="annual_value_repeated_each_quarter"/>
    <n v="2.5"/>
    <n v="2.5"/>
    <n v="2.5"/>
    <n v="2.5"/>
    <n v="65"/>
    <m/>
    <m/>
    <m/>
    <n v="0.56306306306306286"/>
    <n v="7.0743405275779159"/>
    <n v="2.1814006888633886"/>
    <n v="6.9711538461538325"/>
    <n v="0.64308681672027301"/>
    <n v="0.95101171458998923"/>
    <n v="0.94781682641107556"/>
    <n v="0.56306306306306286"/>
    <n v="7.0743405275779159"/>
    <n v="2.1814006888633886"/>
    <n v="6.9711538461538325"/>
    <n v="0.95101171458998923"/>
    <n v="0.94781682641107556"/>
    <n v="6.3901594379448312"/>
    <s v="0|2012Q3"/>
    <x v="2"/>
  </r>
  <r>
    <x v="0"/>
    <s v="2012Q4"/>
    <x v="83"/>
    <n v="88.7"/>
    <n v="90.5"/>
    <n v="93.9"/>
    <s v="annual_value_repeated_each_quarter"/>
    <n v="2.5"/>
    <n v="2.5"/>
    <n v="2.5"/>
    <n v="2.5"/>
    <n v="63"/>
    <m/>
    <m/>
    <m/>
    <n v="-0.67189249720044364"/>
    <n v="6.8674698795180733"/>
    <n v="1.6853932584269593"/>
    <n v="6.7216981132075526"/>
    <n v="0.64308681672027301"/>
    <n v="0.9446219382321619"/>
    <n v="0.96379126730564424"/>
    <n v="-0.67189249720044364"/>
    <n v="6.8674698795180733"/>
    <n v="1.6853932584269593"/>
    <n v="6.7216981132075526"/>
    <n v="0.9446219382321619"/>
    <n v="0.96379126730564424"/>
    <n v="6.184610647061084"/>
    <s v="0|2012Q4"/>
    <x v="2"/>
  </r>
  <r>
    <x v="0"/>
    <s v="2013Q1"/>
    <x v="84"/>
    <n v="91.4"/>
    <n v="91.5"/>
    <n v="95.9"/>
    <s v="annual_value_repeated_each_quarter"/>
    <n v="2.5"/>
    <n v="2.5"/>
    <n v="2.5"/>
    <n v="2.5"/>
    <n v="61"/>
    <m/>
    <m/>
    <m/>
    <n v="3.0439684329199634"/>
    <n v="6.2790697674418583"/>
    <n v="1.1049723756906049"/>
    <n v="6.2717770034843356"/>
    <n v="2.1299254526091493"/>
    <n v="0.9530761209593327"/>
    <n v="0.95411887382690297"/>
    <n v="3.0439684329199634"/>
    <n v="6.2790697674418583"/>
    <n v="1.1049723756906049"/>
    <n v="6.2717770034843356"/>
    <n v="0.9530761209593327"/>
    <n v="0.95411887382690297"/>
    <n v="4.0626136721876094"/>
    <s v="0|2013Q1"/>
    <x v="2"/>
  </r>
  <r>
    <x v="0"/>
    <s v="2013Q2"/>
    <x v="85"/>
    <n v="93.9"/>
    <n v="92.1"/>
    <n v="95.9"/>
    <s v="annual_value_repeated_each_quarter"/>
    <n v="2.5"/>
    <n v="2.5"/>
    <n v="2.5"/>
    <n v="2.5"/>
    <n v="60"/>
    <m/>
    <m/>
    <m/>
    <n v="2.7352297592997843"/>
    <n v="5.7432432432432456"/>
    <n v="0.65573770491802463"/>
    <n v="5.7405281285878296"/>
    <n v="2.1299254526091493"/>
    <n v="0.97914494264859231"/>
    <n v="0.96037539103232528"/>
    <n v="2.7352297592997843"/>
    <n v="5.7432432432432456"/>
    <n v="0.65573770491802463"/>
    <n v="5.7405281285878296"/>
    <n v="0.97914494264859231"/>
    <n v="0.96037539103232528"/>
    <n v="3.5379618408815539"/>
    <s v="0|2013Q2"/>
    <x v="2"/>
  </r>
  <r>
    <x v="0"/>
    <s v="2013Q3"/>
    <x v="86"/>
    <n v="92.1"/>
    <n v="91.8"/>
    <n v="95.9"/>
    <s v="annual_value_repeated_each_quarter"/>
    <n v="2.5"/>
    <n v="2.5"/>
    <n v="2.5"/>
    <n v="2.5"/>
    <n v="66"/>
    <m/>
    <m/>
    <m/>
    <n v="-1.9169329073482566"/>
    <n v="3.1354983202687592"/>
    <n v="-0.32573289902280145"/>
    <n v="3.1460674157303359"/>
    <n v="2.1299254526091493"/>
    <n v="0.96037539103232528"/>
    <n v="0.95724713242961412"/>
    <n v="-1.9169329073482566"/>
    <n v="3.1354983202687592"/>
    <n v="-0.32573289902280145"/>
    <n v="3.1460674157303359"/>
    <n v="0.96037539103232528"/>
    <n v="0.95724713242961412"/>
    <n v="0.98460158783353346"/>
    <s v="0|2013Q3"/>
    <x v="2"/>
  </r>
  <r>
    <x v="0"/>
    <s v="2013Q4"/>
    <x v="87"/>
    <n v="89.6"/>
    <n v="91.5"/>
    <n v="95.9"/>
    <s v="annual_value_repeated_each_quarter"/>
    <n v="2.5"/>
    <n v="2.5"/>
    <n v="2.5"/>
    <n v="2.5"/>
    <n v="63"/>
    <m/>
    <m/>
    <m/>
    <n v="-2.7144408251900121"/>
    <n v="1.0146561443066471"/>
    <n v="-0.32679738562091387"/>
    <n v="1.1049723756906049"/>
    <n v="2.1299254526091493"/>
    <n v="0.93430656934306555"/>
    <n v="0.95411887382690297"/>
    <n v="-2.7144408251900121"/>
    <n v="1.0146561443066471"/>
    <n v="-0.32679738562091387"/>
    <n v="1.1049723756906049"/>
    <n v="0.93430656934306555"/>
    <n v="0.95411887382690297"/>
    <n v="-1.0920103029156136"/>
    <s v="0|2013Q4"/>
    <x v="2"/>
  </r>
  <r>
    <x v="0"/>
    <s v="2014Q1"/>
    <x v="88"/>
    <n v="91.7"/>
    <n v="91.8"/>
    <n v="97.9"/>
    <s v="annual_value_repeated_each_quarter"/>
    <n v="2.5"/>
    <n v="2.5"/>
    <n v="2.5"/>
    <n v="2.5"/>
    <n v="63"/>
    <m/>
    <m/>
    <m/>
    <n v="2.34375"/>
    <n v="0.32822757111596879"/>
    <n v="0.32786885245901232"/>
    <n v="0.32786885245901232"/>
    <n v="2.0855057351407691"/>
    <n v="0.93667007150153214"/>
    <n v="0.93769152196118477"/>
    <n v="2.34375"/>
    <n v="0.32822757111596879"/>
    <n v="0.32786885245901232"/>
    <n v="0.32786885245901232"/>
    <n v="0.93667007150153214"/>
    <n v="0.93769152196118477"/>
    <n v="-1.7213787122571933"/>
    <s v="0|2014Q1"/>
    <x v="2"/>
  </r>
  <r>
    <x v="0"/>
    <s v="2014Q2"/>
    <x v="89"/>
    <n v="95.2"/>
    <n v="93.4"/>
    <n v="97.9"/>
    <s v="annual_value_repeated_each_quarter"/>
    <n v="2.5"/>
    <n v="2.5"/>
    <n v="2.5"/>
    <n v="2.5"/>
    <n v="59"/>
    <m/>
    <m/>
    <m/>
    <n v="3.8167938931297662"/>
    <n v="1.3844515441959526"/>
    <n v="1.7429193899782147"/>
    <n v="1.4115092290988285"/>
    <n v="2.0855057351407691"/>
    <n v="0.97242083758937692"/>
    <n v="0.95403472931562816"/>
    <n v="3.8167938931297662"/>
    <n v="1.3844515441959526"/>
    <n v="1.7429193899782147"/>
    <n v="1.4115092290988285"/>
    <n v="0.97242083758937692"/>
    <n v="0.95403472931562816"/>
    <n v="-0.68673234843318331"/>
    <s v="0|2014Q2"/>
    <x v="2"/>
  </r>
  <r>
    <x v="0"/>
    <s v="2014Q3"/>
    <x v="90"/>
    <n v="95.3"/>
    <n v="95"/>
    <n v="97.9"/>
    <s v="annual_value_repeated_each_quarter"/>
    <n v="2.5"/>
    <n v="2.5"/>
    <n v="2.5"/>
    <n v="2.5"/>
    <n v="66"/>
    <m/>
    <m/>
    <m/>
    <n v="0.10504201680672232"/>
    <n v="3.4744842562432154"/>
    <n v="1.7130620985010614"/>
    <n v="3.4858387799564294"/>
    <n v="2.0855057351407691"/>
    <n v="0.97344228804902955"/>
    <n v="0.97037793667007144"/>
    <n v="0.10504201680672232"/>
    <n v="3.4744842562432154"/>
    <n v="1.7130620985010614"/>
    <n v="3.4858387799564294"/>
    <n v="0.97344228804902955"/>
    <n v="0.97037793667007144"/>
    <n v="1.3606030661258872"/>
    <s v="0|2014Q3"/>
    <x v="2"/>
  </r>
  <r>
    <x v="0"/>
    <s v="2014Q4"/>
    <x v="91"/>
    <n v="94.8"/>
    <n v="96.9"/>
    <n v="97.9"/>
    <s v="annual_value_repeated_each_quarter"/>
    <n v="2.4563492063492065"/>
    <n v="2.25"/>
    <n v="2.25"/>
    <n v="2.5"/>
    <n v="63"/>
    <n v="1"/>
    <n v="-0.25"/>
    <n v="0.25"/>
    <n v="-0.52465897166841247"/>
    <n v="5.8035714285714413"/>
    <n v="2.0000000000000018"/>
    <n v="5.9016393442623105"/>
    <n v="2.0855057351407691"/>
    <n v="0.96833503575076596"/>
    <n v="0.98978549540347294"/>
    <n v="-0.52465897166841247"/>
    <n v="5.8035714285714413"/>
    <n v="2.0000000000000018"/>
    <n v="5.9016393442623105"/>
    <n v="0.96833503575076596"/>
    <n v="0.98978549540347294"/>
    <n v="3.6421092951991918"/>
    <s v="0|2014Q4"/>
    <x v="2"/>
  </r>
  <r>
    <x v="0"/>
    <s v="2015Q1"/>
    <x v="92"/>
    <n v="98.3"/>
    <n v="98.4"/>
    <n v="100"/>
    <s v="annual_value_repeated_each_quarter"/>
    <n v="2.25"/>
    <n v="2.25"/>
    <n v="2.25"/>
    <n v="2.25"/>
    <n v="63"/>
    <m/>
    <m/>
    <m/>
    <n v="3.6919831223628741"/>
    <n v="7.19738276990185"/>
    <n v="1.5479876160990669"/>
    <n v="7.1895424836601496"/>
    <n v="2.1450459652706755"/>
    <n v="0.98299999999999998"/>
    <n v="0.9840000000000001"/>
    <n v="3.6919831223628741"/>
    <n v="7.19738276990185"/>
    <n v="1.5479876160990669"/>
    <n v="7.1895424836601496"/>
    <n v="0.98299999999999998"/>
    <n v="0.9840000000000001"/>
    <n v="4.9462377317339268"/>
    <s v="0|2015Q1"/>
    <x v="2"/>
  </r>
  <r>
    <x v="0"/>
    <s v="2015Q2"/>
    <x v="93"/>
    <n v="101.5"/>
    <n v="99.6"/>
    <n v="100"/>
    <s v="annual_value_repeated_each_quarter"/>
    <n v="2.2161016949152543"/>
    <n v="2"/>
    <n v="2"/>
    <n v="2.25"/>
    <n v="59"/>
    <n v="1"/>
    <n v="-0.25"/>
    <n v="0.25"/>
    <n v="3.2553407934893253"/>
    <n v="6.6176470588235281"/>
    <n v="1.2195121951219301"/>
    <n v="6.6381156316916323"/>
    <n v="2.1450459652706755"/>
    <n v="1.0149999999999999"/>
    <n v="0.996"/>
    <n v="3.2553407934893253"/>
    <n v="6.6176470588235281"/>
    <n v="1.2195121951219301"/>
    <n v="6.6381156316916323"/>
    <n v="1.0149999999999999"/>
    <n v="0.996"/>
    <n v="4.3786764705882275"/>
    <s v="0|2015Q2"/>
    <x v="2"/>
  </r>
  <r>
    <x v="0"/>
    <s v="2015Q3"/>
    <x v="94"/>
    <n v="101.1"/>
    <n v="100.7"/>
    <n v="100"/>
    <s v="annual_value_repeated_each_quarter"/>
    <n v="1.9848484848484849"/>
    <n v="1.75"/>
    <n v="1.75"/>
    <n v="2"/>
    <n v="66"/>
    <n v="1"/>
    <n v="-0.25"/>
    <n v="0.25"/>
    <n v="-0.39408866995074288"/>
    <n v="6.0860440713536246"/>
    <n v="1.1044176706827447"/>
    <n v="6.0000000000000053"/>
    <n v="2.1450459652706755"/>
    <n v="1.0109999999999999"/>
    <n v="1.0070000000000001"/>
    <n v="-0.39408866995074288"/>
    <n v="6.0860440713536246"/>
    <n v="1.1044176706827447"/>
    <n v="6.0000000000000053"/>
    <n v="1.0109999999999999"/>
    <n v="1.0070000000000001"/>
    <n v="3.8582371458551812"/>
    <s v="0|2015Q3"/>
    <x v="2"/>
  </r>
  <r>
    <x v="0"/>
    <s v="2015Q4"/>
    <x v="95"/>
    <n v="99.1"/>
    <n v="101.3"/>
    <n v="100"/>
    <s v="annual_value_repeated_each_quarter"/>
    <n v="1.75"/>
    <n v="1.75"/>
    <n v="1.75"/>
    <n v="1.75"/>
    <n v="64"/>
    <m/>
    <m/>
    <m/>
    <n v="-1.978239366963408"/>
    <n v="4.5358649789029482"/>
    <n v="0.59582919563057057"/>
    <n v="4.5407636738906021"/>
    <n v="2.1450459652706755"/>
    <n v="0.99099999999999999"/>
    <n v="1.0129999999999999"/>
    <n v="-1.978239366963408"/>
    <n v="4.5358649789029482"/>
    <n v="0.59582919563057057"/>
    <n v="4.5407636738906021"/>
    <n v="0.99099999999999999"/>
    <n v="1.0129999999999999"/>
    <n v="2.3406118143459942"/>
    <s v="0|2015Q4"/>
    <x v="2"/>
  </r>
  <r>
    <x v="0"/>
    <s v="2016Q1"/>
    <x v="96"/>
    <n v="102.8"/>
    <n v="102.9"/>
    <n v="103.6"/>
    <s v="annual_value_repeated_each_quarter"/>
    <n v="1.721311475409836"/>
    <n v="1.5"/>
    <n v="1.5"/>
    <n v="1.75"/>
    <n v="61"/>
    <n v="1"/>
    <n v="-0.25"/>
    <n v="0.25"/>
    <n v="3.7336024217961672"/>
    <n v="4.5778229908443491"/>
    <n v="1.5794669299111552"/>
    <n v="4.57317073170731"/>
    <n v="3.6000000000000032"/>
    <n v="0.99227799227799229"/>
    <n v="0.99324324324324331"/>
    <n v="3.7336024217961672"/>
    <n v="4.5778229908443491"/>
    <n v="1.5794669299111552"/>
    <n v="4.57317073170731"/>
    <n v="0.99227799227799229"/>
    <n v="0.99324324324324331"/>
    <n v="0.94384458575709207"/>
    <s v="0|2016Q1"/>
    <x v="2"/>
  </r>
  <r>
    <x v="0"/>
    <s v="2016Q2"/>
    <x v="97"/>
    <n v="107.1"/>
    <n v="105.1"/>
    <n v="103.6"/>
    <s v="annual_value_repeated_each_quarter"/>
    <n v="1.5"/>
    <n v="1.5"/>
    <n v="1.5"/>
    <n v="1.5"/>
    <n v="62"/>
    <m/>
    <m/>
    <m/>
    <n v="4.182879377431914"/>
    <n v="5.5172413793103336"/>
    <n v="2.1379980563653866"/>
    <n v="5.5220883534136567"/>
    <n v="3.6000000000000032"/>
    <n v="1.0337837837837838"/>
    <n v="1.0144787644787645"/>
    <n v="4.182879377431914"/>
    <n v="5.5172413793103336"/>
    <n v="2.1379980563653866"/>
    <n v="5.5220883534136567"/>
    <n v="1.0337837837837838"/>
    <n v="1.0144787644787645"/>
    <n v="1.8506190919984178"/>
    <s v="0|2016Q2"/>
    <x v="2"/>
  </r>
  <r>
    <x v="0"/>
    <s v="2016Q3"/>
    <x v="98"/>
    <n v="109.1"/>
    <n v="108.7"/>
    <n v="103.6"/>
    <s v="annual_value_repeated_each_quarter"/>
    <n v="1.5"/>
    <n v="1.5"/>
    <n v="1.5"/>
    <n v="1.5"/>
    <n v="66"/>
    <m/>
    <m/>
    <m/>
    <n v="1.8674136321195078"/>
    <n v="7.9129574678536096"/>
    <n v="3.4253092293054399"/>
    <n v="7.9443892750744816"/>
    <n v="3.6000000000000032"/>
    <n v="1.053088803088803"/>
    <n v="1.0492277992277994"/>
    <n v="1.8674136321195078"/>
    <n v="7.9129574678536096"/>
    <n v="3.4253092293054399"/>
    <n v="7.9443892750744816"/>
    <n v="1.053088803088803"/>
    <n v="1.0492277992277994"/>
    <n v="4.1630863589320555"/>
    <s v="0|2016Q3"/>
    <x v="2"/>
  </r>
  <r>
    <x v="0"/>
    <s v="2016Q4"/>
    <x v="99"/>
    <n v="109.1"/>
    <n v="111.6"/>
    <n v="103.6"/>
    <s v="annual_value_repeated_each_quarter"/>
    <n v="1.5"/>
    <n v="1.5"/>
    <n v="1.5"/>
    <n v="1.5"/>
    <n v="64"/>
    <m/>
    <m/>
    <m/>
    <n v="0"/>
    <n v="10.09081735620585"/>
    <n v="2.6678932842686187"/>
    <n v="10.167818361303048"/>
    <n v="3.6000000000000032"/>
    <n v="1.053088803088803"/>
    <n v="1.0772200772200773"/>
    <n v="0"/>
    <n v="10.09081735620585"/>
    <n v="2.6678932842686187"/>
    <n v="10.167818361303048"/>
    <n v="1.053088803088803"/>
    <n v="1.0772200772200773"/>
    <n v="6.2652677183454131"/>
    <s v="0|2016Q4"/>
    <x v="2"/>
  </r>
  <r>
    <x v="0"/>
    <s v="2017Q1"/>
    <x v="100"/>
    <n v="113.2"/>
    <n v="113.3"/>
    <n v="105.5"/>
    <s v="annual_value_repeated_each_quarter"/>
    <n v="1.5"/>
    <n v="1.5"/>
    <n v="1.5"/>
    <n v="1.5"/>
    <n v="65"/>
    <m/>
    <m/>
    <m/>
    <n v="3.7580201649862532"/>
    <n v="10.116731517509736"/>
    <n v="1.5232974910394326"/>
    <n v="10.106899902818256"/>
    <n v="1.8339768339768359"/>
    <n v="1.0729857819905213"/>
    <n v="1.0739336492890994"/>
    <n v="3.7580201649862532"/>
    <n v="10.116731517509736"/>
    <n v="1.5232974910394326"/>
    <n v="10.106899902818256"/>
    <n v="1.0729857819905213"/>
    <n v="1.0739336492890994"/>
    <n v="8.1335865897062209"/>
    <s v="0|2017Q1"/>
    <x v="2"/>
  </r>
  <r>
    <x v="0"/>
    <s v="2017Q2"/>
    <x v="101"/>
    <n v="114.5"/>
    <n v="112.4"/>
    <n v="105.5"/>
    <s v="annual_value_repeated_each_quarter"/>
    <n v="1.5"/>
    <n v="1.5"/>
    <n v="1.5"/>
    <n v="1.5"/>
    <n v="58"/>
    <m/>
    <m/>
    <m/>
    <n v="1.148409893992941"/>
    <n v="6.9094304388422012"/>
    <n v="-0.79435127978816356"/>
    <n v="6.9457659372026859"/>
    <n v="1.8339768339768359"/>
    <n v="1.0853080568720379"/>
    <n v="1.0654028436018959"/>
    <n v="1.148409893992941"/>
    <n v="6.9094304388422012"/>
    <n v="-0.79435127978816356"/>
    <n v="6.9457659372026859"/>
    <n v="1.0853080568720379"/>
    <n v="1.0654028436018959"/>
    <n v="4.984047331412822"/>
    <s v="0|2017Q2"/>
    <x v="2"/>
  </r>
  <r>
    <x v="0"/>
    <s v="2017Q3"/>
    <x v="102"/>
    <n v="111.8"/>
    <n v="111.4"/>
    <n v="105.5"/>
    <s v="annual_value_repeated_each_quarter"/>
    <n v="1.5"/>
    <n v="1.5"/>
    <n v="1.5"/>
    <n v="1.5"/>
    <n v="65"/>
    <m/>
    <m/>
    <m/>
    <n v="-2.3580786026200951"/>
    <n v="2.4747937671860676"/>
    <n v="-0.88967971530249379"/>
    <n v="2.483900643974235"/>
    <n v="1.8339768339768359"/>
    <n v="1.0597156398104266"/>
    <n v="1.0559241706161138"/>
    <n v="-2.3580786026200951"/>
    <n v="2.4747937671860676"/>
    <n v="-0.88967971530249379"/>
    <n v="2.483900643974235"/>
    <n v="1.0597156398104266"/>
    <n v="1.0559241706161138"/>
    <n v="0.62927615431731532"/>
    <s v="0|2017Q3"/>
    <x v="2"/>
  </r>
  <r>
    <x v="0"/>
    <s v="2017Q4"/>
    <x v="103"/>
    <n v="109.9"/>
    <n v="112.4"/>
    <n v="105.5"/>
    <s v="annual_value_repeated_each_quarter"/>
    <n v="1.5"/>
    <n v="1.5"/>
    <n v="1.5"/>
    <n v="1.5"/>
    <n v="63"/>
    <m/>
    <m/>
    <m/>
    <n v="-1.6994633273702986"/>
    <n v="0.73327222731440767"/>
    <n v="0.89766606822261341"/>
    <n v="0.71684587813620748"/>
    <n v="1.8339768339768359"/>
    <n v="1.0417061611374407"/>
    <n v="1.0654028436018959"/>
    <n v="-1.6994633273702986"/>
    <n v="0.73327222731440767"/>
    <n v="0.89766606822261341"/>
    <n v="0.71684587813620748"/>
    <n v="1.0417061611374407"/>
    <n v="1.0654028436018959"/>
    <n v="-1.0808814905234998"/>
    <s v="0|2017Q4"/>
    <x v="2"/>
  </r>
  <r>
    <x v="0"/>
    <s v="2018Q1"/>
    <x v="104"/>
    <n v="112"/>
    <n v="112.1"/>
    <n v="108.4"/>
    <s v="annual_value_repeated_each_quarter"/>
    <n v="1.5"/>
    <n v="1.5"/>
    <n v="1.5"/>
    <n v="1.5"/>
    <n v="62"/>
    <m/>
    <m/>
    <m/>
    <n v="1.9108280254777066"/>
    <n v="-1.0600706713780994"/>
    <n v="-0.2669039145907548"/>
    <n v="-1.0591350397175625"/>
    <n v="2.7488151658767723"/>
    <n v="1.033210332103321"/>
    <n v="1.0341328413284132"/>
    <n v="1.9108280254777066"/>
    <n v="-1.0600706713780994"/>
    <n v="-0.2669039145907548"/>
    <n v="-1.0591350397175625"/>
    <n v="1.033210332103321"/>
    <n v="1.0341328413284132"/>
    <n v="-3.7069875999113377"/>
    <s v="0|2018Q1"/>
    <x v="2"/>
  </r>
  <r>
    <x v="0"/>
    <s v="2018Q2"/>
    <x v="105"/>
    <n v="116.4"/>
    <n v="114.2"/>
    <n v="108.4"/>
    <s v="annual_value_repeated_each_quarter"/>
    <n v="1.5"/>
    <n v="1.5"/>
    <n v="1.5"/>
    <n v="1.5"/>
    <n v="60"/>
    <m/>
    <m/>
    <m/>
    <n v="3.9285714285714368"/>
    <n v="1.6593886462882068"/>
    <n v="1.873327386262269"/>
    <n v="1.6014234875444844"/>
    <n v="2.7488151658767723"/>
    <n v="1.07380073800738"/>
    <n v="1.0535055350553506"/>
    <n v="3.9285714285714368"/>
    <n v="1.6593886462882068"/>
    <n v="1.873327386262269"/>
    <n v="1.6014234875444844"/>
    <n v="1.07380073800738"/>
    <n v="1.0535055350553506"/>
    <n v="-1.0602813451715432"/>
    <s v="0|2018Q2"/>
    <x v="2"/>
  </r>
  <r>
    <x v="0"/>
    <s v="2018Q3"/>
    <x v="106"/>
    <n v="115.1"/>
    <n v="114.6"/>
    <n v="108.4"/>
    <s v="annual_value_repeated_each_quarter"/>
    <n v="1.523076923076923"/>
    <n v="1.75"/>
    <n v="1.5"/>
    <n v="1.75"/>
    <n v="65"/>
    <n v="1"/>
    <n v="0.25"/>
    <n v="0.25"/>
    <n v="-1.1168384879725157"/>
    <n v="2.9516994633273619"/>
    <n v="0.35026269702276291"/>
    <n v="2.8725314183123851"/>
    <n v="2.7488151658767723"/>
    <n v="1.0618081180811807"/>
    <n v="1.0571955719557196"/>
    <n v="-1.1168384879725157"/>
    <n v="2.9516994633273619"/>
    <n v="0.35026269702276291"/>
    <n v="2.8725314183123851"/>
    <n v="1.0618081180811807"/>
    <n v="1.0571955719557196"/>
    <n v="0.1974565810058726"/>
    <s v="0|2018Q3"/>
    <x v="2"/>
  </r>
  <r>
    <x v="0"/>
    <s v="2018Q4"/>
    <x v="107"/>
    <n v="112.4"/>
    <n v="115"/>
    <n v="108.4"/>
    <s v="annual_value_repeated_each_quarter"/>
    <n v="1.75"/>
    <n v="1.75"/>
    <n v="1.75"/>
    <n v="1.75"/>
    <n v="63"/>
    <m/>
    <m/>
    <m/>
    <n v="-2.3457862728062495"/>
    <n v="2.2747952684258443"/>
    <n v="0.34904013961605251"/>
    <n v="2.313167259786475"/>
    <n v="2.7488151658767723"/>
    <n v="1.03690036900369"/>
    <n v="1.0608856088560885"/>
    <n v="-2.3457862728062495"/>
    <n v="2.2747952684258443"/>
    <n v="0.34904013961605251"/>
    <n v="2.313167259786475"/>
    <n v="1.03690036900369"/>
    <n v="1.0608856088560885"/>
    <n v="-0.46133855333094775"/>
    <s v="0|2018Q4"/>
    <x v="2"/>
  </r>
  <r>
    <x v="0"/>
    <s v="2019Q1"/>
    <x v="108"/>
    <n v="115.4"/>
    <n v="115.6"/>
    <n v="110.8"/>
    <s v="annual_value_repeated_each_quarter"/>
    <n v="1.7738095238095237"/>
    <n v="2"/>
    <n v="1.75"/>
    <n v="2"/>
    <n v="63"/>
    <n v="1"/>
    <n v="0.25"/>
    <n v="0.25"/>
    <n v="2.6690391459074814"/>
    <n v="3.0357142857142971"/>
    <n v="0.52173913043478404"/>
    <n v="3.1222123104371002"/>
    <n v="2.2140221402213944"/>
    <n v="1.0415162454873648"/>
    <n v="1.0433212996389891"/>
    <n v="2.6690391459074814"/>
    <n v="3.0357142857142971"/>
    <n v="0.52173913043478404"/>
    <n v="3.1222123104371002"/>
    <n v="1.0415162454873648"/>
    <n v="1.0433212996389891"/>
    <n v="0.80389375966993804"/>
    <s v="0|2019Q1"/>
    <x v="2"/>
  </r>
  <r>
    <x v="0"/>
    <s v="2019Q2"/>
    <x v="109"/>
    <n v="118.7"/>
    <n v="116.3"/>
    <n v="110.8"/>
    <s v="annual_value_repeated_each_quarter"/>
    <n v="2.0258620689655173"/>
    <n v="2.25"/>
    <n v="2"/>
    <n v="2.25"/>
    <n v="58"/>
    <n v="1"/>
    <n v="0.25"/>
    <n v="0.25"/>
    <n v="2.8596187175043308"/>
    <n v="1.9759450171821236"/>
    <n v="0.60553633217992342"/>
    <n v="1.8388791593695331"/>
    <n v="2.2140221402213944"/>
    <n v="1.0712996389891698"/>
    <n v="1.0496389891696751"/>
    <n v="2.8596187175043308"/>
    <n v="1.9759450171821236"/>
    <n v="0.60553633217992342"/>
    <n v="1.8388791593695331"/>
    <n v="1.0712996389891698"/>
    <n v="1.0496389891696751"/>
    <n v="-0.23292021784706574"/>
    <s v="0|2019Q2"/>
    <x v="2"/>
  </r>
  <r>
    <x v="0"/>
    <s v="2019Q3"/>
    <x v="110"/>
    <n v="117.8"/>
    <n v="117.3"/>
    <n v="110.8"/>
    <s v="annual_value_repeated_each_quarter"/>
    <n v="2.2765151515151514"/>
    <n v="2.5"/>
    <n v="2.25"/>
    <n v="2.5"/>
    <n v="66"/>
    <n v="1"/>
    <n v="0.25"/>
    <n v="0.25"/>
    <n v="-0.75821398483572056"/>
    <n v="2.3457862728062606"/>
    <n v="0.85984522785897965"/>
    <n v="2.3560209424083878"/>
    <n v="2.2140221402213944"/>
    <n v="1.0631768953068592"/>
    <n v="1.0586642599277978"/>
    <n v="-0.75821398483572056"/>
    <n v="2.3457862728062606"/>
    <n v="0.85984522785897965"/>
    <n v="2.3560209424083878"/>
    <n v="1.0631768953068592"/>
    <n v="1.0586642599277978"/>
    <n v="0.12891003585018268"/>
    <s v="0|2019Q3"/>
    <x v="2"/>
  </r>
  <r>
    <x v="0"/>
    <s v="2019Q4"/>
    <x v="111"/>
    <n v="115.3"/>
    <n v="118.1"/>
    <n v="110.8"/>
    <s v="annual_value_repeated_each_quarter"/>
    <n v="2.5"/>
    <n v="2.5"/>
    <n v="2.5"/>
    <n v="2.5"/>
    <n v="63"/>
    <m/>
    <m/>
    <m/>
    <n v="-2.1222410865874397"/>
    <n v="2.5800711743772187"/>
    <n v="0.68201193520887049"/>
    <n v="2.6956521739130324"/>
    <n v="2.2140221402213944"/>
    <n v="1.0406137184115523"/>
    <n v="1.0658844765342961"/>
    <n v="-2.1222410865874397"/>
    <n v="2.5800711743772187"/>
    <n v="0.68201193520887049"/>
    <n v="2.6956521739130324"/>
    <n v="1.0406137184115523"/>
    <n v="1.0658844765342961"/>
    <n v="0.35812017421019693"/>
    <s v="0|2019Q4"/>
    <x v="2"/>
  </r>
  <r>
    <x v="0"/>
    <s v="2020Q1"/>
    <x v="112"/>
    <n v="117.6"/>
    <n v="117.9"/>
    <n v="112.2"/>
    <s v="annual_value_repeated_each_quarter"/>
    <n v="2.32421875"/>
    <n v="1.25"/>
    <n v="1.25"/>
    <n v="2.5"/>
    <n v="64"/>
    <n v="2"/>
    <n v="-1.25"/>
    <n v="1.25"/>
    <n v="1.9947961838681749"/>
    <n v="1.9064124783362058"/>
    <n v="-0.16934801016087464"/>
    <n v="1.9896193771626436"/>
    <n v="1.2635379061371799"/>
    <n v="1.0481283422459893"/>
    <n v="1.0508021390374331"/>
    <n v="1.9947961838681749"/>
    <n v="1.9064124783362058"/>
    <n v="-0.16934801016087464"/>
    <n v="1.9896193771626436"/>
    <n v="1.0481283422459893"/>
    <n v="1.0508021390374331"/>
    <n v="0.63485296434626637"/>
    <s v="0|2020Q1"/>
    <x v="3"/>
  </r>
  <r>
    <x v="0"/>
    <s v="2020Q2"/>
    <x v="113"/>
    <n v="121.9"/>
    <n v="119.3"/>
    <n v="112.2"/>
    <s v="annual_value_repeated_each_quarter"/>
    <n v="1.097457627118644"/>
    <n v="1"/>
    <n v="1"/>
    <n v="1.25"/>
    <n v="59"/>
    <n v="1"/>
    <n v="-0.25"/>
    <n v="0.25"/>
    <n v="3.656462585034026"/>
    <n v="2.695871946082562"/>
    <n v="1.187446988973706"/>
    <n v="2.5795356835769612"/>
    <n v="1.2635379061371799"/>
    <n v="1.0864527629233511"/>
    <n v="1.0632798573975044"/>
    <n v="3.656462585034026"/>
    <n v="2.695871946082562"/>
    <n v="1.187446988973706"/>
    <n v="2.5795356835769612"/>
    <n v="1.0864527629233511"/>
    <n v="1.0632798573975044"/>
    <n v="1.4144617791973735"/>
    <s v="0|2020Q2"/>
    <x v="3"/>
  </r>
  <r>
    <x v="0"/>
    <s v="2020Q3"/>
    <x v="114"/>
    <n v="123.6"/>
    <n v="123"/>
    <n v="112.2"/>
    <s v="annual_value_repeated_each_quarter"/>
    <n v="1"/>
    <n v="1"/>
    <n v="1"/>
    <n v="1"/>
    <n v="66"/>
    <m/>
    <m/>
    <m/>
    <n v="1.3945857260049044"/>
    <n v="4.9235993208828432"/>
    <n v="3.1014249790444204"/>
    <n v="4.8593350383631773"/>
    <n v="1.2635379061371799"/>
    <n v="1.1016042780748663"/>
    <n v="1.0962566844919786"/>
    <n v="1.3945857260049044"/>
    <n v="4.9235993208828432"/>
    <n v="3.1014249790444204"/>
    <n v="4.8593350383631773"/>
    <n v="1.1016042780748663"/>
    <n v="1.0962566844919786"/>
    <n v="3.6143921992318973"/>
    <s v="0|2020Q3"/>
    <x v="3"/>
  </r>
  <r>
    <x v="0"/>
    <s v="2020Q4"/>
    <x v="115"/>
    <n v="124"/>
    <n v="127.2"/>
    <n v="112.2"/>
    <s v="annual_value_repeated_each_quarter"/>
    <n v="1"/>
    <n v="1"/>
    <n v="1"/>
    <n v="1"/>
    <n v="64"/>
    <m/>
    <m/>
    <m/>
    <n v="0.32362459546926292"/>
    <n v="7.5455333911535138"/>
    <n v="3.4146341463414664"/>
    <n v="7.7053344623200681"/>
    <n v="1.2635379061371799"/>
    <n v="1.1051693404634582"/>
    <n v="1.1336898395721926"/>
    <n v="0.32362459546926292"/>
    <n v="7.5455333911535138"/>
    <n v="3.4146341463414664"/>
    <n v="7.7053344623200681"/>
    <n v="1.1051693404634582"/>
    <n v="1.1336898395721926"/>
    <n v="6.2036105146150655"/>
    <s v="0|2020Q4"/>
    <x v="3"/>
  </r>
  <r>
    <x v="0"/>
    <s v="2021Q1"/>
    <x v="116"/>
    <n v="130.69999999999999"/>
    <n v="131.1"/>
    <n v="116.1"/>
    <s v="annual_value_repeated_each_quarter"/>
    <n v="1"/>
    <n v="1"/>
    <n v="1"/>
    <n v="1"/>
    <n v="63"/>
    <m/>
    <m/>
    <m/>
    <n v="5.4032258064516059"/>
    <n v="11.139455782312924"/>
    <n v="3.0660377358490587"/>
    <n v="11.195928753180651"/>
    <n v="3.475935828876997"/>
    <n v="1.1257536606373815"/>
    <n v="1.1291989664082687"/>
    <n v="5.4032258064516059"/>
    <n v="11.139455782312924"/>
    <n v="3.0660377358490587"/>
    <n v="11.195928753180651"/>
    <n v="1.1257536606373815"/>
    <n v="1.1291989664082687"/>
    <n v="7.4060890506073118"/>
    <s v="0|2021Q1"/>
    <x v="3"/>
  </r>
  <r>
    <x v="0"/>
    <s v="2021Q2"/>
    <x v="117"/>
    <n v="137"/>
    <n v="133.80000000000001"/>
    <n v="116.1"/>
    <s v="annual_value_repeated_each_quarter"/>
    <n v="1"/>
    <n v="1"/>
    <n v="1"/>
    <n v="1"/>
    <n v="59"/>
    <m/>
    <m/>
    <m/>
    <n v="4.8201989288446878"/>
    <n v="12.387202625102534"/>
    <n v="2.0594965675057253"/>
    <n v="12.154233025984929"/>
    <n v="3.475935828876997"/>
    <n v="1.1800172265288544"/>
    <n v="1.1524547803617573"/>
    <n v="4.8201989288446878"/>
    <n v="12.387202625102534"/>
    <n v="2.0594965675057253"/>
    <n v="12.154233025984929"/>
    <n v="1.1800172265288544"/>
    <n v="1.1524547803617573"/>
    <n v="8.6119219167657626"/>
    <s v="0|2021Q2"/>
    <x v="3"/>
  </r>
  <r>
    <x v="0"/>
    <s v="2021Q3"/>
    <x v="118"/>
    <n v="136.5"/>
    <n v="135.80000000000001"/>
    <n v="116.1"/>
    <s v="annual_value_repeated_each_quarter"/>
    <n v="1.018939393939394"/>
    <n v="1.25"/>
    <n v="1"/>
    <n v="1.25"/>
    <n v="66"/>
    <n v="1"/>
    <n v="0.25"/>
    <n v="0.25"/>
    <n v="-0.36496350364964014"/>
    <n v="10.436893203883502"/>
    <n v="1.4947683109117982"/>
    <n v="10.406504065040668"/>
    <n v="3.475935828876997"/>
    <n v="1.1757105943152455"/>
    <n v="1.1696813092161931"/>
    <n v="-0.36496350364964014"/>
    <n v="10.436893203883502"/>
    <n v="1.4947683109117982"/>
    <n v="10.406504065040668"/>
    <n v="1.1757105943152455"/>
    <n v="1.1696813092161931"/>
    <n v="6.7271267655101497"/>
    <s v="0|2021Q3"/>
    <x v="3"/>
  </r>
  <r>
    <x v="0"/>
    <s v="2021Q4"/>
    <x v="119"/>
    <n v="133.9"/>
    <n v="137.6"/>
    <n v="116.1"/>
    <s v="annual_value_repeated_each_quarter"/>
    <n v="1.2884615384615385"/>
    <n v="1.5"/>
    <n v="1.25"/>
    <n v="1.5"/>
    <n v="65"/>
    <n v="1"/>
    <n v="0.25"/>
    <n v="0.25"/>
    <n v="-1.904761904761898"/>
    <n v="7.9838709677419351"/>
    <n v="1.3254786450662692"/>
    <n v="8.1761006289308149"/>
    <n v="3.475935828876997"/>
    <n v="1.153316106804479"/>
    <n v="1.1851851851851851"/>
    <n v="-1.904761904761898"/>
    <n v="7.9838709677419351"/>
    <n v="1.3254786450662692"/>
    <n v="8.1761006289308149"/>
    <n v="1.153316106804479"/>
    <n v="1.1851851851851851"/>
    <n v="4.3565057931149509"/>
    <s v="0|2021Q4"/>
    <x v="3"/>
  </r>
  <r>
    <x v="0"/>
    <s v="2022Q1"/>
    <x v="120"/>
    <n v="140.1"/>
    <n v="140.5"/>
    <n v="122.8"/>
    <s v="annual_value_repeated_each_quarter"/>
    <n v="1.51953125"/>
    <n v="1.75"/>
    <n v="1.5"/>
    <n v="1.75"/>
    <n v="64"/>
    <n v="1"/>
    <n v="0.25"/>
    <n v="0.25"/>
    <n v="4.6303211351754969"/>
    <n v="7.1920428462127095"/>
    <n v="2.107558139534893"/>
    <n v="7.170099160945842"/>
    <n v="5.7708871662360162"/>
    <n v="1.1408794788273615"/>
    <n v="1.1441368078175895"/>
    <n v="4.6303211351754969"/>
    <n v="7.1920428462127095"/>
    <n v="2.107558139534893"/>
    <n v="7.170099160945842"/>
    <n v="1.1408794788273615"/>
    <n v="1.1441368078175895"/>
    <n v="1.3436170557434401"/>
    <s v="0|2022Q1"/>
    <x v="3"/>
  </r>
  <r>
    <x v="0"/>
    <s v="2022Q2"/>
    <x v="121"/>
    <n v="145.69999999999999"/>
    <n v="142.19999999999999"/>
    <n v="122.8"/>
    <s v="annual_value_repeated_each_quarter"/>
    <n v="1.7923728813559323"/>
    <n v="2.25"/>
    <n v="1.75"/>
    <n v="2.25"/>
    <n v="59"/>
    <n v="1"/>
    <n v="0.5"/>
    <n v="0.5"/>
    <n v="3.9971448965024914"/>
    <n v="6.3503649635036519"/>
    <n v="1.2099644128113818"/>
    <n v="6.2780269058295701"/>
    <n v="5.7708871662360162"/>
    <n v="1.1864820846905537"/>
    <n v="1.1579804560260585"/>
    <n v="3.9971448965024914"/>
    <n v="6.3503649635036519"/>
    <n v="1.2099644128113818"/>
    <n v="6.2780269058295701"/>
    <n v="1.1864820846905537"/>
    <n v="1.1579804560260585"/>
    <n v="0.54786133764472833"/>
    <s v="0|2022Q2"/>
    <x v="3"/>
  </r>
  <r>
    <x v="0"/>
    <s v="2022Q3"/>
    <x v="122"/>
    <n v="143.1"/>
    <n v="142.4"/>
    <n v="122.8"/>
    <s v="annual_value_repeated_each_quarter"/>
    <n v="2.5303030303030303"/>
    <n v="3.25"/>
    <n v="2.25"/>
    <n v="3.25"/>
    <n v="66"/>
    <n v="2"/>
    <n v="1"/>
    <n v="1"/>
    <n v="-1.7844886753603295"/>
    <n v="4.8351648351648402"/>
    <n v="0.14064697609001975"/>
    <n v="4.8600883652430094"/>
    <n v="5.7708871662360162"/>
    <n v="1.1653094462540716"/>
    <n v="1.1596091205211727"/>
    <n v="-1.7844886753603295"/>
    <n v="4.8351648351648402"/>
    <n v="0.14064697609001975"/>
    <n v="4.8600883652430094"/>
    <n v="1.1653094462540716"/>
    <n v="1.1596091205211727"/>
    <n v="-0.88466907685149643"/>
    <s v="0|2022Q3"/>
    <x v="3"/>
  </r>
  <r>
    <x v="0"/>
    <s v="2022Q4"/>
    <x v="123"/>
    <n v="137.4"/>
    <n v="141.4"/>
    <n v="122.8"/>
    <s v="annual_value_repeated_each_quarter"/>
    <n v="3.4453125"/>
    <n v="3.75"/>
    <n v="3.25"/>
    <n v="3.75"/>
    <n v="64"/>
    <n v="2"/>
    <n v="0.5"/>
    <n v="0.5"/>
    <n v="-3.98322851153039"/>
    <n v="2.6138909634055185"/>
    <n v="-0.70224719101124045"/>
    <n v="2.7616279069767602"/>
    <n v="5.7708871662360162"/>
    <n v="1.1188925081433225"/>
    <n v="1.1514657980456027"/>
    <n v="-3.98322851153039"/>
    <n v="2.6138909634055185"/>
    <n v="-0.70224719101124045"/>
    <n v="2.7616279069767602"/>
    <n v="1.1188925081433225"/>
    <n v="1.1514657980456027"/>
    <n v="-2.9847496673340301"/>
    <s v="0|2022Q4"/>
    <x v="3"/>
  </r>
  <r>
    <x v="0"/>
    <s v="2023Q1"/>
    <x v="124"/>
    <n v="140"/>
    <n v="140.30000000000001"/>
    <n v="129.6"/>
    <s v="annual_value_repeated_each_quarter"/>
    <n v="3.773076923076923"/>
    <n v="4"/>
    <n v="3.75"/>
    <n v="4"/>
    <n v="65"/>
    <n v="1"/>
    <n v="0.25"/>
    <n v="0.25"/>
    <n v="1.8922852983988214"/>
    <n v="-7.1377587437537748E-2"/>
    <n v="-0.77793493635077704"/>
    <n v="-0.1423487544483959"/>
    <n v="5.5374592833876246"/>
    <n v="1.080246913580247"/>
    <n v="1.0825617283950619"/>
    <n v="1.8922852983988214"/>
    <n v="-7.1377587437537748E-2"/>
    <n v="-0.77793493635077704"/>
    <n v="-0.1423487544483959"/>
    <n v="1.080246913580247"/>
    <n v="1.0825617283950619"/>
    <n v="-5.3145460473559281"/>
    <s v="0|2023Q1"/>
    <x v="3"/>
  </r>
  <r>
    <x v="0"/>
    <s v="2023Q2"/>
    <x v="125"/>
    <n v="145.5"/>
    <n v="141.80000000000001"/>
    <n v="129.6"/>
    <s v="annual_value_repeated_each_quarter"/>
    <n v="4.2155172413793105"/>
    <n v="4.75"/>
    <n v="4"/>
    <n v="4.75"/>
    <n v="58"/>
    <n v="2"/>
    <n v="0.75"/>
    <n v="0.75"/>
    <n v="3.9285714285714368"/>
    <n v="-0.13726835964309458"/>
    <n v="1.0691375623663513"/>
    <n v="-0.28129395218001729"/>
    <n v="5.5374592833876246"/>
    <n v="1.1226851851851853"/>
    <n v="1.0941358024691359"/>
    <n v="3.9285714285714368"/>
    <n v="-0.13726835964309458"/>
    <n v="1.0691375623663513"/>
    <n v="-0.28129395218001729"/>
    <n v="1.1226851851851853"/>
    <n v="1.0941358024691359"/>
    <n v="-5.3769795876865034"/>
    <s v="0|2023Q2"/>
    <x v="3"/>
  </r>
  <r>
    <x v="0"/>
    <s v="2023Q3"/>
    <x v="126"/>
    <n v="141.30000000000001"/>
    <n v="140.6"/>
    <n v="129.6"/>
    <s v="annual_value_repeated_each_quarter"/>
    <n v="4.8923076923076927"/>
    <n v="5.25"/>
    <n v="4.75"/>
    <n v="5.25"/>
    <n v="65"/>
    <n v="2"/>
    <n v="0.5"/>
    <n v="0.5"/>
    <n v="-2.8865979381443196"/>
    <n v="-1.2578616352201144"/>
    <n v="-0.84626234132582079"/>
    <n v="-1.2640449438202306"/>
    <n v="5.5374592833876246"/>
    <n v="1.0902777777777779"/>
    <n v="1.0848765432098766"/>
    <n v="-2.8865979381443196"/>
    <n v="-1.2578616352201144"/>
    <n v="-0.84626234132582079"/>
    <n v="-1.2640449438202306"/>
    <n v="1.0902777777777779"/>
    <n v="1.0848765432098766"/>
    <n v="-6.438776302507943"/>
    <s v="0|2023Q3"/>
    <x v="3"/>
  </r>
  <r>
    <x v="0"/>
    <s v="2023Q4"/>
    <x v="127"/>
    <n v="136.4"/>
    <n v="140.5"/>
    <n v="129.6"/>
    <s v="annual_value_repeated_each_quarter"/>
    <n v="5.2857142857142856"/>
    <n v="5.5"/>
    <n v="5.25"/>
    <n v="5.5"/>
    <n v="63"/>
    <n v="1"/>
    <n v="0.25"/>
    <n v="0.25"/>
    <n v="-3.4677990092002897"/>
    <n v="-0.72780203784570396"/>
    <n v="-7.1123755334279171E-2"/>
    <n v="-0.63649222065064182"/>
    <n v="5.5374592833876246"/>
    <n v="1.0524691358024691"/>
    <n v="1.084104938271605"/>
    <n v="-3.4677990092002897"/>
    <n v="-0.72780203784570396"/>
    <n v="-7.1123755334279171E-2"/>
    <n v="-0.63649222065064182"/>
    <n v="1.0524691358024691"/>
    <n v="1.084104938271605"/>
    <n v="-5.9365284741315865"/>
    <s v="0|2023Q4"/>
    <x v="3"/>
  </r>
  <r>
    <x v="0"/>
    <s v="2024Q1"/>
    <x v="128"/>
    <n v="141.69999999999999"/>
    <n v="141.9"/>
    <n v="133.6"/>
    <s v="annual_value_repeated_each_quarter"/>
    <n v="5.5"/>
    <n v="5.5"/>
    <n v="5.5"/>
    <n v="5.5"/>
    <n v="62"/>
    <m/>
    <m/>
    <m/>
    <n v="3.8856304985337209"/>
    <n v="1.2142857142857011"/>
    <n v="0.99644128113880459"/>
    <n v="1.1404133998574428"/>
    <n v="3.0864197530864113"/>
    <n v="1.0606287425149701"/>
    <n v="1.062125748502994"/>
    <n v="3.8856304985337209"/>
    <n v="1.2142857142857011"/>
    <n v="0.99644128113880459"/>
    <n v="1.1404133998574428"/>
    <n v="1.0606287425149701"/>
    <n v="1.062125748502994"/>
    <n v="-1.8160821214713518"/>
    <s v="0|2024Q1"/>
    <x v="3"/>
  </r>
  <r>
    <x v="0"/>
    <s v="2024Q2"/>
    <x v="129"/>
    <n v="147.69999999999999"/>
    <n v="143.9"/>
    <n v="133.6"/>
    <s v="annual_value_repeated_each_quarter"/>
    <n v="5.5"/>
    <n v="5.5"/>
    <n v="5.5"/>
    <n v="5.5"/>
    <n v="60"/>
    <m/>
    <m/>
    <m/>
    <n v="4.2342978122794639"/>
    <n v="1.5120274914089293"/>
    <n v="1.4094432699083947"/>
    <n v="1.4809590973201558"/>
    <n v="3.0864197530864113"/>
    <n v="1.1055389221556886"/>
    <n v="1.0770958083832336"/>
    <n v="4.2342978122794639"/>
    <n v="1.5120274914089293"/>
    <n v="1.4094432699083947"/>
    <n v="1.4809590973201558"/>
    <n v="1.1055389221556886"/>
    <n v="1.0770958083832336"/>
    <n v="-1.5272547688129023"/>
    <s v="0|2024Q2"/>
    <x v="3"/>
  </r>
  <r>
    <x v="0"/>
    <s v="2024Q3"/>
    <x v="130"/>
    <n v="145.9"/>
    <n v="145.19999999999999"/>
    <n v="133.6"/>
    <s v="annual_value_repeated_each_quarter"/>
    <n v="5.5"/>
    <n v="5.5"/>
    <n v="5.5"/>
    <n v="5.5"/>
    <n v="66"/>
    <m/>
    <m/>
    <m/>
    <n v="-1.2186865267433844"/>
    <n v="3.2554847841472112"/>
    <n v="0.90340514246003423"/>
    <n v="3.2716927453769529"/>
    <n v="3.0864197530864113"/>
    <n v="1.0920658682634732"/>
    <n v="1.0868263473053892"/>
    <n v="-1.2186865267433844"/>
    <n v="3.2554847841472112"/>
    <n v="0.90340514246003423"/>
    <n v="3.2716927453769529"/>
    <n v="1.0920658682634732"/>
    <n v="1.0868263473053892"/>
    <n v="0.16400320378351374"/>
    <s v="0|2024Q3"/>
    <x v="3"/>
  </r>
  <r>
    <x v="0"/>
    <s v="2024Q4"/>
    <x v="131"/>
    <n v="143"/>
    <n v="147.30000000000001"/>
    <n v="133.6"/>
    <s v="annual_value_repeated_each_quarter"/>
    <n v="5.5"/>
    <n v="5.5"/>
    <n v="5.5"/>
    <n v="5.5"/>
    <n v="63"/>
    <m/>
    <m/>
    <m/>
    <n v="-1.9876627827278948"/>
    <n v="4.8387096774193505"/>
    <n v="1.4462809917355601"/>
    <n v="4.8398576512455493"/>
    <n v="3.0864197530864113"/>
    <n v="1.0703592814371259"/>
    <n v="1.102544910179641"/>
    <n v="-1.9876627827278948"/>
    <n v="4.8387096774193505"/>
    <n v="1.4462809917355601"/>
    <n v="4.8398576512455493"/>
    <n v="1.0703592814371259"/>
    <n v="1.102544910179641"/>
    <n v="1.6998261541433468"/>
    <s v="0|2024Q4"/>
    <x v="3"/>
  </r>
  <r>
    <x v="0"/>
    <s v="2025Q1"/>
    <x v="132"/>
    <n v="150.9"/>
    <n v="151.1"/>
    <m/>
    <s v="annual_value_repeated_each_quarter"/>
    <n v="5.5"/>
    <n v="5.5"/>
    <n v="5.5"/>
    <n v="5.5"/>
    <n v="63"/>
    <m/>
    <m/>
    <m/>
    <n v="5.524475524475525"/>
    <n v="6.4925899788285335"/>
    <n v="2.5797691785471644"/>
    <n v="6.4834390415785759"/>
    <n v="0"/>
    <m/>
    <m/>
    <n v="5.524475524475525"/>
    <n v="6.4925899788285335"/>
    <n v="2.5797691785471644"/>
    <n v="6.4834390415785759"/>
    <m/>
    <m/>
    <m/>
    <s v="0|2025Q1"/>
    <x v="3"/>
  </r>
  <r>
    <x v="0"/>
    <s v="2025Q2"/>
    <x v="133"/>
    <n v="154.4"/>
    <n v="150.5"/>
    <m/>
    <s v="annual_value_repeated_each_quarter"/>
    <n v="5.4703389830508478"/>
    <n v="5.25"/>
    <n v="5.25"/>
    <n v="5.5"/>
    <n v="59"/>
    <n v="1"/>
    <n v="-0.25"/>
    <n v="0.25"/>
    <n v="2.3194168323392939"/>
    <n v="4.5362220717671153"/>
    <n v="-0.397088021178027"/>
    <n v="4.5865184155663652"/>
    <n v="0"/>
    <m/>
    <m/>
    <n v="2.3194168323392939"/>
    <n v="4.5362220717671153"/>
    <n v="-0.397088021178027"/>
    <n v="4.5865184155663652"/>
    <m/>
    <m/>
    <m/>
    <s v="0|2025Q2"/>
    <x v="3"/>
  </r>
  <r>
    <x v="0"/>
    <s v="2025Q3"/>
    <x v="134"/>
    <n v="153.19999999999999"/>
    <n v="152.5"/>
    <m/>
    <s v="annual_value_repeated_each_quarter"/>
    <n v="5.2196969696969697"/>
    <n v="5"/>
    <n v="5"/>
    <n v="5.25"/>
    <n v="66"/>
    <n v="1"/>
    <n v="-0.25"/>
    <n v="0.25"/>
    <n v="-0.77720207253887397"/>
    <n v="5.0034270047977891"/>
    <n v="1.3289036544850585"/>
    <n v="5.0275482093663948"/>
    <n v="0"/>
    <m/>
    <m/>
    <n v="-0.77720207253887397"/>
    <n v="5.0034270047977891"/>
    <n v="1.3289036544850585"/>
    <n v="5.0275482093663948"/>
    <m/>
    <m/>
    <m/>
    <s v="0|2025Q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F37CF-77E4-0C4F-98E6-424ED749F171}"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O7:Q12" firstHeaderRow="0" firstDataRow="1" firstDataCol="1"/>
  <pivotFields count="34">
    <pivotField showAll="0">
      <items count="2">
        <item x="0"/>
        <item t="default"/>
      </items>
    </pivotField>
    <pivotField showAll="0"/>
    <pivotField numFmtId="14"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axis="axisRow" numFmtId="1" showAll="0">
      <items count="5">
        <item x="0"/>
        <item x="1"/>
        <item x="2"/>
        <item x="3"/>
        <item t="default"/>
      </items>
    </pivotField>
    <pivotField showAll="0" defaultSubtotal="0"/>
    <pivotField showAll="0" defaultSubtotal="0"/>
    <pivotField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s>
  <rowFields count="1">
    <field x="30"/>
  </rowFields>
  <rowItems count="5">
    <i>
      <x/>
    </i>
    <i>
      <x v="1"/>
    </i>
    <i>
      <x v="2"/>
    </i>
    <i>
      <x v="3"/>
    </i>
    <i t="grand">
      <x/>
    </i>
  </rowItems>
  <colFields count="1">
    <field x="-2"/>
  </colFields>
  <colItems count="2">
    <i>
      <x/>
    </i>
    <i i="1">
      <x v="1"/>
    </i>
  </colItems>
  <dataFields count="2">
    <dataField name="StdDev of hpi_qoq_pct" fld="22" subtotal="stdDev" baseField="0" baseItem="0"/>
    <dataField name="StdDev of hpi_yoy_pct" fld="23" subtotal="stdDev" baseField="0" baseItem="0"/>
  </dataField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6180E9-D30B-0B48-A725-EA34B06C73C5}"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C42" firstHeaderRow="0" firstDataRow="1" firstDataCol="1" rowPageCount="1" colPageCount="1"/>
  <pivotFields count="34">
    <pivotField axis="axisPage" showAll="0">
      <items count="2">
        <item x="0"/>
        <item t="default"/>
      </items>
    </pivotField>
    <pivotField showAll="0"/>
    <pivotField axis="axisRow" numFmtId="14"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items count="5">
        <item x="0"/>
        <item x="1"/>
        <item x="2"/>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ascending">
      <items count="37">
        <item sd="0" x="0"/>
        <item sd="0" x="35"/>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t="default"/>
      </items>
    </pivotField>
  </pivotFields>
  <rowFields count="4">
    <field x="33"/>
    <field x="32"/>
    <field x="31"/>
    <field x="2"/>
  </rowFields>
  <rowItems count="35">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pageFields count="1">
    <pageField fld="0" hier="-1"/>
  </pageFields>
  <dataFields count="2">
    <dataField name="Average of hpi_index" fld="3" subtotal="average" baseField="0" baseItem="0"/>
    <dataField name="Average of hpi_sa_index" fld="4" subtotal="average" baseField="0" baseItem="0"/>
  </dataField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D1039E-F79D-264B-9D05-D45E3863CFDE}"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L9" firstHeaderRow="1" firstDataRow="1" firstDataCol="1"/>
  <pivotFields count="34">
    <pivotField axis="axisRow" showAll="0">
      <items count="2">
        <item x="0"/>
        <item t="default"/>
      </items>
    </pivotField>
    <pivotField showAll="0"/>
    <pivotField numFmtId="14"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1" showAll="0">
      <items count="5">
        <item x="0"/>
        <item x="1"/>
        <item x="2"/>
        <item x="3"/>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3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s>
    </pivotField>
  </pivotFields>
  <rowFields count="1">
    <field x="0"/>
  </rowFields>
  <rowItems count="2">
    <i>
      <x/>
    </i>
    <i t="grand">
      <x/>
    </i>
  </rowItems>
  <colItems count="1">
    <i/>
  </colItems>
  <dataFields count="1">
    <dataField name="StdDev of hpi_qoq_pct" fld="22" subtotal="stdDev"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FB02C8-BE1C-3546-A6CC-DB4A3D010366}"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7:H42" firstHeaderRow="0" firstDataRow="1" firstDataCol="1" rowPageCount="1" colPageCount="1"/>
  <pivotFields count="34">
    <pivotField axis="axisPage" showAll="0">
      <items count="2">
        <item x="0"/>
        <item t="default"/>
      </items>
    </pivotField>
    <pivotField showAll="0"/>
    <pivotField axis="axisRow" numFmtId="14"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numFmtId="1" showAll="0">
      <items count="5">
        <item x="0"/>
        <item x="1"/>
        <item x="2"/>
        <item x="3"/>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3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s>
    </pivotField>
  </pivotFields>
  <rowFields count="4">
    <field x="33"/>
    <field x="32"/>
    <field x="31"/>
    <field x="2"/>
  </rowFields>
  <rowItems count="35">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2">
    <i>
      <x/>
    </i>
    <i i="1">
      <x v="1"/>
    </i>
  </colItems>
  <pageFields count="1">
    <pageField fld="0" hier="-1"/>
  </pageFields>
  <dataFields count="2">
    <dataField name="Average of hpi_yoy_pct" fld="23" subtotal="average" baseField="0" baseItem="0"/>
    <dataField name="Average of hpi_qoq_pct" fld="22" subtotal="average" baseField="0" baseItem="0"/>
  </dataField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E3B654E-5540-0A42-A857-011E9BB321BD}" autoFormatId="16" applyNumberFormats="0" applyBorderFormats="0" applyFontFormats="0" applyPatternFormats="0" applyAlignmentFormats="0" applyWidthHeightFormats="0">
  <queryTableRefresh nextId="32" unboundColumnsRight="2">
    <queryTableFields count="31">
      <queryTableField id="1" name="boligtype_code" tableColumnId="1"/>
      <queryTableField id="2" name="quarter" tableColumnId="2"/>
      <queryTableField id="3" name="quarter_start" tableColumnId="3"/>
      <queryTableField id="4" name="hpi_index" tableColumnId="4"/>
      <queryTableField id="5" name="hpi_sa_index" tableColumnId="5"/>
      <queryTableField id="6" name="cpi_index" tableColumnId="6"/>
      <queryTableField id="7" name="cpi_method" tableColumnId="7"/>
      <queryTableField id="8" name="policy_rate_avg" tableColumnId="8"/>
      <queryTableField id="9" name="policy_rate_end" tableColumnId="9"/>
      <queryTableField id="10" name="policy_rate_min" tableColumnId="10"/>
      <queryTableField id="11" name="policy_rate_max" tableColumnId="11"/>
      <queryTableField id="12" name="policy_obs_count" tableColumnId="12"/>
      <queryTableField id="13" name="policy_change_events" tableColumnId="13"/>
      <queryTableField id="14" name="policy_delta_sum" tableColumnId="14"/>
      <queryTableField id="15" name="policy_delta_abs_sum" tableColumnId="15"/>
      <queryTableField id="16" name="hpi_index_qoq_pct_part2" tableColumnId="16"/>
      <queryTableField id="17" name="hpi_index_yoy_pct_part2" tableColumnId="17"/>
      <queryTableField id="18" name="hpi_sa_index_qoq_pct_part2" tableColumnId="18"/>
      <queryTableField id="19" name="hpi_sa_index_yoy_pct_part2" tableColumnId="19"/>
      <queryTableField id="20" name="cpi_yoy_pct_part2" tableColumnId="20"/>
      <queryTableField id="21" name="real_hpi_proxy_part2" tableColumnId="21"/>
      <queryTableField id="22" name="real_hpi_sa_proxy_part2" tableColumnId="22"/>
      <queryTableField id="23" name="hpi_qoq_pct" tableColumnId="23"/>
      <queryTableField id="24" name="hpi_yoy_pct" tableColumnId="24"/>
      <queryTableField id="25" name="hpi_sa_qoq_pct" tableColumnId="25"/>
      <queryTableField id="26" name="hpi_sa_yoy_pct" tableColumnId="26"/>
      <queryTableField id="27" name="real_hpi_proxy" tableColumnId="27"/>
      <queryTableField id="28" name="real_hpi_sa_proxy" tableColumnId="28"/>
      <queryTableField id="29" name="real_hpi_proxy_yoy_pct" tableColumnId="29"/>
      <queryTableField id="30" dataBound="0" tableColumnId="30"/>
      <queryTableField id="31" dataBound="0"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cade" xr10:uid="{F7CDE061-120A-9944-AAE7-2BE504D20054}" sourceName="decade">
  <pivotTables>
    <pivotTable tabId="5" name="PivotTable1"/>
    <pivotTable tabId="5" name="PivotTable2"/>
    <pivotTable tabId="5" name="PivotTable3"/>
    <pivotTable tabId="5" name="PivotTable7"/>
  </pivotTables>
  <data>
    <tabular pivotCacheId="65942864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cade" xr10:uid="{13826FF0-719E-B34F-89CB-6E02C88E7FF7}" cache="Slicer_decade" caption="decad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cade 1" xr10:uid="{A6178D2C-FCBF-C341-9F34-A35FE446E839}" cache="Slicer_decade" caption="decade" rowHeight="251883"/>
  <slicer name="decade 2" xr10:uid="{41D3C6EF-FA06-524C-85E0-B6685D786CB0}" cache="Slicer_decade" caption="decad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4634C8-9F52-CE48-930F-08AC0898A2E1}" name="tbl_mart" displayName="tbl_mart" ref="A1:AE136" tableType="queryTable" totalsRowShown="0">
  <autoFilter ref="A1:AE136" xr:uid="{C84634C8-9F52-CE48-930F-08AC0898A2E1}"/>
  <tableColumns count="31">
    <tableColumn id="1" xr3:uid="{EDC3CEED-1D42-4245-B0A7-93F9E37589CB}" uniqueName="1" name="boligtype_code" queryTableFieldId="1"/>
    <tableColumn id="2" xr3:uid="{A5EA6B01-2E43-444B-8657-02A696EC31D6}" uniqueName="2" name="quarter" queryTableFieldId="2" dataDxfId="4"/>
    <tableColumn id="3" xr3:uid="{87644E8B-6DE8-7C43-9AE1-1F41A269DE18}" uniqueName="3" name="quarter_start" queryTableFieldId="3" dataDxfId="3"/>
    <tableColumn id="4" xr3:uid="{D82AD57C-737F-5846-8C9D-8B886032590D}" uniqueName="4" name="hpi_index" queryTableFieldId="4"/>
    <tableColumn id="5" xr3:uid="{83E35514-3634-EF46-BF59-991F276F4D9F}" uniqueName="5" name="hpi_sa_index" queryTableFieldId="5"/>
    <tableColumn id="6" xr3:uid="{2096D947-5498-2E49-8D5E-815244F7DD67}" uniqueName="6" name="cpi_index" queryTableFieldId="6"/>
    <tableColumn id="7" xr3:uid="{EF88E7C5-435B-4441-8C37-B4C5466945C7}" uniqueName="7" name="cpi_method" queryTableFieldId="7" dataDxfId="2"/>
    <tableColumn id="8" xr3:uid="{42D19241-34A6-D04F-84EE-E16FF9A4E036}" uniqueName="8" name="policy_rate_avg" queryTableFieldId="8"/>
    <tableColumn id="9" xr3:uid="{4EC9A8D5-C885-AB46-B5E9-363B16DBBA2E}" uniqueName="9" name="policy_rate_end" queryTableFieldId="9"/>
    <tableColumn id="10" xr3:uid="{0567A690-43F2-8B48-BE89-6FCC095EF015}" uniqueName="10" name="policy_rate_min" queryTableFieldId="10"/>
    <tableColumn id="11" xr3:uid="{47D8A869-C72B-1B4F-A57D-C2017C78A17C}" uniqueName="11" name="policy_rate_max" queryTableFieldId="11"/>
    <tableColumn id="12" xr3:uid="{87F82259-D0AD-FC42-A1C7-6BBED37DCE5F}" uniqueName="12" name="policy_obs_count" queryTableFieldId="12"/>
    <tableColumn id="13" xr3:uid="{6E8E2F93-E62D-F341-90F9-C760802BE7DD}" uniqueName="13" name="policy_change_events" queryTableFieldId="13"/>
    <tableColumn id="14" xr3:uid="{6BB2D4E4-11A2-5947-A1F3-ECA23BD492C3}" uniqueName="14" name="policy_delta_sum" queryTableFieldId="14"/>
    <tableColumn id="15" xr3:uid="{5F1EA183-FFD5-314A-ABC2-E2888225DF7D}" uniqueName="15" name="policy_delta_abs_sum" queryTableFieldId="15"/>
    <tableColumn id="16" xr3:uid="{D73D2A77-9427-8F42-AF87-39202187EBDF}" uniqueName="16" name="hpi_index_qoq_pct_part2" queryTableFieldId="16"/>
    <tableColumn id="17" xr3:uid="{9A3599A3-CE38-4343-818A-0027D5836A9B}" uniqueName="17" name="hpi_index_yoy_pct_part2" queryTableFieldId="17"/>
    <tableColumn id="18" xr3:uid="{AE26EBCC-D29D-2449-92E4-9AF9F054B66F}" uniqueName="18" name="hpi_sa_index_qoq_pct_part2" queryTableFieldId="18"/>
    <tableColumn id="19" xr3:uid="{46CA3506-81FD-8944-9BD1-47EDA2381801}" uniqueName="19" name="hpi_sa_index_yoy_pct_part2" queryTableFieldId="19"/>
    <tableColumn id="20" xr3:uid="{DDB660EF-08EB-7C45-B750-3173A66EDF09}" uniqueName="20" name="cpi_yoy_pct_part2" queryTableFieldId="20"/>
    <tableColumn id="21" xr3:uid="{A2C976D9-6DB4-344E-92B2-C01F138BE374}" uniqueName="21" name="real_hpi_proxy_part2" queryTableFieldId="21"/>
    <tableColumn id="22" xr3:uid="{2A9B2796-B91C-3B44-9C6F-02028A045181}" uniqueName="22" name="real_hpi_sa_proxy_part2" queryTableFieldId="22"/>
    <tableColumn id="23" xr3:uid="{CD729DF6-7D03-184C-9F25-169E9254DC58}" uniqueName="23" name="hpi_qoq_pct" queryTableFieldId="23"/>
    <tableColumn id="24" xr3:uid="{3A91312A-0577-3749-BD05-0D3376739D42}" uniqueName="24" name="hpi_yoy_pct" queryTableFieldId="24"/>
    <tableColumn id="25" xr3:uid="{843782FC-8BC2-C242-8B6E-A8DF7AB4C3AD}" uniqueName="25" name="hpi_sa_qoq_pct" queryTableFieldId="25"/>
    <tableColumn id="26" xr3:uid="{C7EF8FC0-9A9C-914A-B398-A6A6D85A1721}" uniqueName="26" name="hpi_sa_yoy_pct" queryTableFieldId="26"/>
    <tableColumn id="27" xr3:uid="{FB99CD16-B860-614B-8171-0C73CBA62E6B}" uniqueName="27" name="real_hpi_proxy" queryTableFieldId="27"/>
    <tableColumn id="28" xr3:uid="{4C032406-B9CF-AA4D-BD90-BC295C8947D2}" uniqueName="28" name="real_hpi_sa_proxy" queryTableFieldId="28"/>
    <tableColumn id="29" xr3:uid="{AD0BFBBF-7F2F-A04C-8739-3AA914559B2C}" uniqueName="29" name="real_hpi_proxy_yoy_pct" queryTableFieldId="29"/>
    <tableColumn id="30" xr3:uid="{8055B3C8-E2E6-094E-9472-36AE048461E8}" uniqueName="30" name="key_boligtype_quarter" queryTableFieldId="30" dataDxfId="1">
      <calculatedColumnFormula>tbl_mart[[#This Row],[boligtype_code]]&amp;"|"&amp;tbl_mart[[#This Row],[quarter]]</calculatedColumnFormula>
    </tableColumn>
    <tableColumn id="31" xr3:uid="{276CF8BF-AE29-6742-B2A1-81B65541ACF2}" uniqueName="31" name="decade" queryTableFieldId="31" dataDxfId="0">
      <calculatedColumnFormula>INT(YEAR(tbl_mart[[#This Row],[quarter_start]])/10)*10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2E081-F8F2-204F-BE51-B775BED5CF4A}">
  <dimension ref="A1:A54"/>
  <sheetViews>
    <sheetView workbookViewId="0">
      <selection sqref="A1:A54"/>
    </sheetView>
  </sheetViews>
  <sheetFormatPr baseColWidth="10" defaultRowHeight="16" x14ac:dyDescent="0.2"/>
  <cols>
    <col min="1" max="1" width="78.6640625" bestFit="1" customWidth="1"/>
  </cols>
  <sheetData>
    <row r="1" spans="1:1" x14ac:dyDescent="0.2">
      <c r="A1" s="3" t="s">
        <v>165</v>
      </c>
    </row>
    <row r="2" spans="1:1" ht="17" x14ac:dyDescent="0.25">
      <c r="A2" s="3" t="s">
        <v>166</v>
      </c>
    </row>
    <row r="4" spans="1:1" x14ac:dyDescent="0.2">
      <c r="A4" s="3" t="s">
        <v>167</v>
      </c>
    </row>
    <row r="6" spans="1:1" ht="17" x14ac:dyDescent="0.25">
      <c r="A6" t="s">
        <v>168</v>
      </c>
    </row>
    <row r="8" spans="1:1" ht="17" x14ac:dyDescent="0.25">
      <c r="A8" t="s">
        <v>169</v>
      </c>
    </row>
    <row r="10" spans="1:1" x14ac:dyDescent="0.2">
      <c r="A10" s="3" t="s">
        <v>170</v>
      </c>
    </row>
    <row r="12" spans="1:1" ht="17" x14ac:dyDescent="0.25">
      <c r="A12" t="s">
        <v>171</v>
      </c>
    </row>
    <row r="14" spans="1:1" ht="17" x14ac:dyDescent="0.25">
      <c r="A14" s="4" t="s">
        <v>172</v>
      </c>
    </row>
    <row r="16" spans="1:1" x14ac:dyDescent="0.2">
      <c r="A16" s="3" t="s">
        <v>173</v>
      </c>
    </row>
    <row r="18" spans="1:1" ht="17" x14ac:dyDescent="0.25">
      <c r="A18" t="s">
        <v>174</v>
      </c>
    </row>
    <row r="20" spans="1:1" ht="17" x14ac:dyDescent="0.25">
      <c r="A20" t="s">
        <v>175</v>
      </c>
    </row>
    <row r="22" spans="1:1" ht="17" x14ac:dyDescent="0.25">
      <c r="A22" t="s">
        <v>176</v>
      </c>
    </row>
    <row r="24" spans="1:1" ht="17" x14ac:dyDescent="0.25">
      <c r="A24" t="s">
        <v>177</v>
      </c>
    </row>
    <row r="26" spans="1:1" x14ac:dyDescent="0.2">
      <c r="A26" s="3" t="s">
        <v>178</v>
      </c>
    </row>
    <row r="28" spans="1:1" x14ac:dyDescent="0.2">
      <c r="A28" t="s">
        <v>179</v>
      </c>
    </row>
    <row r="30" spans="1:1" ht="17" x14ac:dyDescent="0.25">
      <c r="A30" t="s">
        <v>180</v>
      </c>
    </row>
    <row r="32" spans="1:1" x14ac:dyDescent="0.2">
      <c r="A32" t="s">
        <v>181</v>
      </c>
    </row>
    <row r="34" spans="1:1" x14ac:dyDescent="0.2">
      <c r="A34" s="3" t="s">
        <v>182</v>
      </c>
    </row>
    <row r="36" spans="1:1" x14ac:dyDescent="0.2">
      <c r="A36" t="s">
        <v>183</v>
      </c>
    </row>
    <row r="38" spans="1:1" ht="17" x14ac:dyDescent="0.25">
      <c r="A38" s="4" t="s">
        <v>184</v>
      </c>
    </row>
    <row r="40" spans="1:1" x14ac:dyDescent="0.2">
      <c r="A40" t="s">
        <v>185</v>
      </c>
    </row>
    <row r="42" spans="1:1" x14ac:dyDescent="0.2">
      <c r="A42" s="3" t="s">
        <v>186</v>
      </c>
    </row>
    <row r="44" spans="1:1" ht="17" x14ac:dyDescent="0.25">
      <c r="A44" s="4" t="s">
        <v>187</v>
      </c>
    </row>
    <row r="46" spans="1:1" ht="17" x14ac:dyDescent="0.25">
      <c r="A46" s="4" t="s">
        <v>188</v>
      </c>
    </row>
    <row r="48" spans="1:1" ht="17" x14ac:dyDescent="0.25">
      <c r="A48" s="4" t="s">
        <v>189</v>
      </c>
    </row>
    <row r="50" spans="1:1" ht="17" x14ac:dyDescent="0.25">
      <c r="A50" s="4" t="s">
        <v>190</v>
      </c>
    </row>
    <row r="52" spans="1:1" ht="17" x14ac:dyDescent="0.25">
      <c r="A52" s="4" t="s">
        <v>191</v>
      </c>
    </row>
    <row r="54" spans="1:1" ht="17" x14ac:dyDescent="0.25">
      <c r="A54" s="4" t="s">
        <v>192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43137-00DD-6A4A-87ED-69D00D7B641C}">
  <dimension ref="A1"/>
  <sheetViews>
    <sheetView workbookViewId="0">
      <selection activeCell="A3" sqref="A3"/>
    </sheetView>
  </sheetViews>
  <sheetFormatPr baseColWidth="10" defaultRowHeight="16"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EE579-64A9-0649-A1F8-57ACE2526513}">
  <dimension ref="A1:AE136"/>
  <sheetViews>
    <sheetView topLeftCell="P2" workbookViewId="0">
      <selection activeCell="AE7" sqref="AE7"/>
    </sheetView>
  </sheetViews>
  <sheetFormatPr baseColWidth="10" defaultRowHeight="16" x14ac:dyDescent="0.2"/>
  <cols>
    <col min="1" max="1" width="16" bestFit="1" customWidth="1"/>
    <col min="2" max="2" width="9.6640625" bestFit="1" customWidth="1"/>
    <col min="3" max="3" width="14.5" bestFit="1" customWidth="1"/>
    <col min="4" max="4" width="11.33203125" bestFit="1" customWidth="1"/>
    <col min="5" max="5" width="14.1640625" bestFit="1" customWidth="1"/>
    <col min="6" max="6" width="11.33203125" bestFit="1" customWidth="1"/>
    <col min="7" max="7" width="32.33203125" bestFit="1" customWidth="1"/>
    <col min="8" max="8" width="16.33203125" bestFit="1" customWidth="1"/>
    <col min="9" max="9" width="16.5" bestFit="1" customWidth="1"/>
    <col min="10" max="10" width="16.6640625" bestFit="1" customWidth="1"/>
    <col min="11" max="11" width="17" bestFit="1" customWidth="1"/>
    <col min="12" max="12" width="17.83203125" bestFit="1" customWidth="1"/>
    <col min="13" max="13" width="21.83203125" bestFit="1" customWidth="1"/>
    <col min="14" max="14" width="18" bestFit="1" customWidth="1"/>
    <col min="15" max="15" width="22" bestFit="1" customWidth="1"/>
    <col min="16" max="16" width="24.1640625" bestFit="1" customWidth="1"/>
    <col min="17" max="17" width="23.6640625" bestFit="1" customWidth="1"/>
    <col min="18" max="18" width="27" bestFit="1" customWidth="1"/>
    <col min="19" max="19" width="26.6640625" bestFit="1" customWidth="1"/>
    <col min="20" max="20" width="18.33203125" bestFit="1" customWidth="1"/>
    <col min="21" max="21" width="20.6640625" bestFit="1" customWidth="1"/>
    <col min="22" max="22" width="23.5" bestFit="1" customWidth="1"/>
    <col min="23" max="23" width="13.5" bestFit="1" customWidth="1"/>
    <col min="24" max="24" width="13.1640625" bestFit="1" customWidth="1"/>
    <col min="25" max="25" width="16.33203125" bestFit="1" customWidth="1"/>
    <col min="26" max="26" width="16" bestFit="1" customWidth="1"/>
    <col min="27" max="27" width="15.33203125" bestFit="1" customWidth="1"/>
    <col min="28" max="28" width="18.1640625" bestFit="1" customWidth="1"/>
    <col min="29" max="29" width="22.5" bestFit="1" customWidth="1"/>
    <col min="30" max="30" width="38.5" customWidth="1"/>
    <col min="31" max="31" width="31.1640625" style="9" bestFit="1" customWidth="1"/>
  </cols>
  <sheetData>
    <row r="1" spans="1:3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193</v>
      </c>
      <c r="AE1" s="9" t="s">
        <v>267</v>
      </c>
    </row>
    <row r="2" spans="1:31" x14ac:dyDescent="0.2">
      <c r="A2">
        <v>0</v>
      </c>
      <c r="B2" t="s">
        <v>29</v>
      </c>
      <c r="C2" s="1">
        <v>33604</v>
      </c>
      <c r="D2">
        <v>18.8</v>
      </c>
      <c r="F2">
        <v>63.4</v>
      </c>
      <c r="G2" t="s">
        <v>30</v>
      </c>
      <c r="H2">
        <v>10</v>
      </c>
      <c r="I2">
        <v>10</v>
      </c>
      <c r="J2">
        <v>10</v>
      </c>
      <c r="K2">
        <v>10</v>
      </c>
      <c r="L2">
        <v>64</v>
      </c>
      <c r="U2">
        <v>0.29652996845425872</v>
      </c>
      <c r="AA2">
        <v>0.29652996845425872</v>
      </c>
      <c r="AD2" t="str">
        <f>tbl_mart[[#This Row],[boligtype_code]]&amp;"|"&amp;tbl_mart[[#This Row],[quarter]]</f>
        <v>0|1992Q1</v>
      </c>
      <c r="AE2" s="10">
        <f>INT(YEAR(tbl_mart[[#This Row],[quarter_start]])/10)*10</f>
        <v>1990</v>
      </c>
    </row>
    <row r="3" spans="1:31" x14ac:dyDescent="0.2">
      <c r="A3">
        <v>0</v>
      </c>
      <c r="B3" t="s">
        <v>31</v>
      </c>
      <c r="C3" s="1">
        <v>33695</v>
      </c>
      <c r="D3">
        <v>18.899999999999999</v>
      </c>
      <c r="F3">
        <v>63.4</v>
      </c>
      <c r="G3" t="s">
        <v>30</v>
      </c>
      <c r="H3">
        <v>10</v>
      </c>
      <c r="I3">
        <v>10</v>
      </c>
      <c r="J3">
        <v>10</v>
      </c>
      <c r="K3">
        <v>10</v>
      </c>
      <c r="L3">
        <v>65</v>
      </c>
      <c r="P3">
        <v>0.53191489361701372</v>
      </c>
      <c r="U3">
        <v>0.29810725552050471</v>
      </c>
      <c r="W3">
        <v>0.53191489361701372</v>
      </c>
      <c r="AA3">
        <v>0.29810725552050471</v>
      </c>
      <c r="AD3" t="str">
        <f>tbl_mart[[#This Row],[boligtype_code]]&amp;"|"&amp;tbl_mart[[#This Row],[quarter]]</f>
        <v>0|1992Q2</v>
      </c>
      <c r="AE3" s="9">
        <f>INT(YEAR(tbl_mart[[#This Row],[quarter_start]])/10)*10</f>
        <v>1990</v>
      </c>
    </row>
    <row r="4" spans="1:31" x14ac:dyDescent="0.2">
      <c r="A4">
        <v>0</v>
      </c>
      <c r="B4" t="s">
        <v>32</v>
      </c>
      <c r="C4" s="1">
        <v>33786</v>
      </c>
      <c r="D4">
        <v>19</v>
      </c>
      <c r="F4">
        <v>63.4</v>
      </c>
      <c r="G4" t="s">
        <v>30</v>
      </c>
      <c r="H4">
        <v>10.272727272727273</v>
      </c>
      <c r="I4">
        <v>11</v>
      </c>
      <c r="J4">
        <v>10</v>
      </c>
      <c r="K4">
        <v>11</v>
      </c>
      <c r="L4">
        <v>66</v>
      </c>
      <c r="M4">
        <v>1</v>
      </c>
      <c r="N4">
        <v>1</v>
      </c>
      <c r="O4">
        <v>1</v>
      </c>
      <c r="P4">
        <v>0.52910052910053462</v>
      </c>
      <c r="U4">
        <v>0.29968454258675081</v>
      </c>
      <c r="W4">
        <v>0.52910052910053462</v>
      </c>
      <c r="AA4">
        <v>0.29968454258675081</v>
      </c>
      <c r="AD4" t="str">
        <f>tbl_mart[[#This Row],[boligtype_code]]&amp;"|"&amp;tbl_mart[[#This Row],[quarter]]</f>
        <v>0|1992Q3</v>
      </c>
      <c r="AE4" s="9">
        <f>INT(YEAR(tbl_mart[[#This Row],[quarter_start]])/10)*10</f>
        <v>1990</v>
      </c>
    </row>
    <row r="5" spans="1:31" x14ac:dyDescent="0.2">
      <c r="A5">
        <v>0</v>
      </c>
      <c r="B5" t="s">
        <v>33</v>
      </c>
      <c r="C5" s="1">
        <v>33878</v>
      </c>
      <c r="D5">
        <v>18.5</v>
      </c>
      <c r="F5">
        <v>63.4</v>
      </c>
      <c r="G5" t="s">
        <v>30</v>
      </c>
      <c r="H5">
        <v>12.71551724137931</v>
      </c>
      <c r="I5">
        <v>11</v>
      </c>
      <c r="J5">
        <v>10</v>
      </c>
      <c r="K5">
        <v>25</v>
      </c>
      <c r="L5">
        <v>58</v>
      </c>
      <c r="M5">
        <v>7</v>
      </c>
      <c r="N5">
        <v>0</v>
      </c>
      <c r="O5">
        <v>30</v>
      </c>
      <c r="P5">
        <v>-2.6315789473684181</v>
      </c>
      <c r="U5">
        <v>0.29179810725552052</v>
      </c>
      <c r="W5">
        <v>-2.6315789473684181</v>
      </c>
      <c r="AA5">
        <v>0.29179810725552052</v>
      </c>
      <c r="AD5" t="str">
        <f>tbl_mart[[#This Row],[boligtype_code]]&amp;"|"&amp;tbl_mart[[#This Row],[quarter]]</f>
        <v>0|1992Q4</v>
      </c>
      <c r="AE5" s="9">
        <f>INT(YEAR(tbl_mart[[#This Row],[quarter_start]])/10)*10</f>
        <v>1990</v>
      </c>
    </row>
    <row r="6" spans="1:31" x14ac:dyDescent="0.2">
      <c r="A6">
        <v>0</v>
      </c>
      <c r="B6" t="s">
        <v>34</v>
      </c>
      <c r="C6" s="1">
        <v>33970</v>
      </c>
      <c r="D6">
        <v>17.8</v>
      </c>
      <c r="F6">
        <v>64.8</v>
      </c>
      <c r="G6" t="s">
        <v>30</v>
      </c>
      <c r="H6">
        <v>9.5436507936507944</v>
      </c>
      <c r="I6">
        <v>8.75</v>
      </c>
      <c r="J6">
        <v>8.75</v>
      </c>
      <c r="K6">
        <v>11</v>
      </c>
      <c r="L6">
        <v>63</v>
      </c>
      <c r="M6">
        <v>7</v>
      </c>
      <c r="N6">
        <v>-2.25</v>
      </c>
      <c r="O6">
        <v>2.25</v>
      </c>
      <c r="P6">
        <v>-3.7837837837837784</v>
      </c>
      <c r="Q6">
        <v>-5.3191489361702153</v>
      </c>
      <c r="T6">
        <v>2.208201892744488</v>
      </c>
      <c r="U6">
        <v>0.27469135802469136</v>
      </c>
      <c r="W6">
        <v>-3.7837837837837784</v>
      </c>
      <c r="X6">
        <v>-5.3191489361702153</v>
      </c>
      <c r="AA6">
        <v>0.27469135802469136</v>
      </c>
      <c r="AC6">
        <v>-7.3647228789072923</v>
      </c>
      <c r="AD6" t="str">
        <f>tbl_mart[[#This Row],[boligtype_code]]&amp;"|"&amp;tbl_mart[[#This Row],[quarter]]</f>
        <v>0|1993Q1</v>
      </c>
      <c r="AE6" s="9">
        <f>INT(YEAR(tbl_mart[[#This Row],[quarter_start]])/10)*10</f>
        <v>1990</v>
      </c>
    </row>
    <row r="7" spans="1:31" x14ac:dyDescent="0.2">
      <c r="A7">
        <v>0</v>
      </c>
      <c r="B7" t="s">
        <v>35</v>
      </c>
      <c r="C7" s="1">
        <v>34060</v>
      </c>
      <c r="D7">
        <v>18.7</v>
      </c>
      <c r="F7">
        <v>64.8</v>
      </c>
      <c r="G7" t="s">
        <v>30</v>
      </c>
      <c r="H7">
        <v>7.8135593220338979</v>
      </c>
      <c r="I7">
        <v>7.5</v>
      </c>
      <c r="J7">
        <v>7.5</v>
      </c>
      <c r="K7">
        <v>8.5</v>
      </c>
      <c r="L7">
        <v>59</v>
      </c>
      <c r="M7">
        <v>5</v>
      </c>
      <c r="N7">
        <v>-1.25</v>
      </c>
      <c r="O7">
        <v>1.25</v>
      </c>
      <c r="P7">
        <v>5.0561797752809001</v>
      </c>
      <c r="Q7">
        <v>-1.0582010582010581</v>
      </c>
      <c r="T7">
        <v>2.208201892744488</v>
      </c>
      <c r="U7">
        <v>0.28858024691358025</v>
      </c>
      <c r="W7">
        <v>5.0561797752809001</v>
      </c>
      <c r="X7">
        <v>-1.0582010582010581</v>
      </c>
      <c r="AA7">
        <v>0.28858024691358025</v>
      </c>
      <c r="AC7">
        <v>-3.1958325168201629</v>
      </c>
      <c r="AD7" t="str">
        <f>tbl_mart[[#This Row],[boligtype_code]]&amp;"|"&amp;tbl_mart[[#This Row],[quarter]]</f>
        <v>0|1993Q2</v>
      </c>
      <c r="AE7" s="9">
        <f>INT(YEAR(tbl_mart[[#This Row],[quarter_start]])/10)*10</f>
        <v>1990</v>
      </c>
    </row>
    <row r="8" spans="1:31" x14ac:dyDescent="0.2">
      <c r="A8">
        <v>0</v>
      </c>
      <c r="B8" t="s">
        <v>36</v>
      </c>
      <c r="C8" s="1">
        <v>34151</v>
      </c>
      <c r="D8">
        <v>19.399999999999999</v>
      </c>
      <c r="F8">
        <v>64.8</v>
      </c>
      <c r="G8" t="s">
        <v>30</v>
      </c>
      <c r="H8">
        <v>7.5</v>
      </c>
      <c r="I8">
        <v>7.5</v>
      </c>
      <c r="J8">
        <v>7.5</v>
      </c>
      <c r="K8">
        <v>7.5</v>
      </c>
      <c r="L8">
        <v>66</v>
      </c>
      <c r="P8">
        <v>3.7433155080213831</v>
      </c>
      <c r="Q8">
        <v>2.1052631578947212</v>
      </c>
      <c r="T8">
        <v>2.208201892744488</v>
      </c>
      <c r="U8">
        <v>0.29938271604938271</v>
      </c>
      <c r="W8">
        <v>3.7433155080213831</v>
      </c>
      <c r="X8">
        <v>2.1052631578947212</v>
      </c>
      <c r="AA8">
        <v>0.29938271604938271</v>
      </c>
      <c r="AC8">
        <v>-0.10071474983756046</v>
      </c>
      <c r="AD8" t="str">
        <f>tbl_mart[[#This Row],[boligtype_code]]&amp;"|"&amp;tbl_mart[[#This Row],[quarter]]</f>
        <v>0|1993Q3</v>
      </c>
      <c r="AE8" s="9">
        <f>INT(YEAR(tbl_mart[[#This Row],[quarter_start]])/10)*10</f>
        <v>1990</v>
      </c>
    </row>
    <row r="9" spans="1:31" x14ac:dyDescent="0.2">
      <c r="A9">
        <v>0</v>
      </c>
      <c r="B9" t="s">
        <v>37</v>
      </c>
      <c r="C9" s="1">
        <v>34243</v>
      </c>
      <c r="D9">
        <v>20</v>
      </c>
      <c r="F9">
        <v>64.8</v>
      </c>
      <c r="G9" t="s">
        <v>30</v>
      </c>
      <c r="H9">
        <v>7.0189393939393936</v>
      </c>
      <c r="I9">
        <v>7</v>
      </c>
      <c r="J9">
        <v>6.75</v>
      </c>
      <c r="K9">
        <v>7.5</v>
      </c>
      <c r="L9">
        <v>66</v>
      </c>
      <c r="M9">
        <v>3</v>
      </c>
      <c r="N9">
        <v>-0.5</v>
      </c>
      <c r="O9">
        <v>1</v>
      </c>
      <c r="P9">
        <v>3.0927835051546504</v>
      </c>
      <c r="Q9">
        <v>8.1081081081081141</v>
      </c>
      <c r="T9">
        <v>2.208201892744488</v>
      </c>
      <c r="U9">
        <v>0.30864197530864201</v>
      </c>
      <c r="W9">
        <v>3.0927835051546504</v>
      </c>
      <c r="X9">
        <v>8.1081081081081141</v>
      </c>
      <c r="AA9">
        <v>0.30864197530864201</v>
      </c>
      <c r="AC9">
        <v>5.7724391057724533</v>
      </c>
      <c r="AD9" t="str">
        <f>tbl_mart[[#This Row],[boligtype_code]]&amp;"|"&amp;tbl_mart[[#This Row],[quarter]]</f>
        <v>0|1993Q4</v>
      </c>
      <c r="AE9" s="9">
        <f>INT(YEAR(tbl_mart[[#This Row],[quarter_start]])/10)*10</f>
        <v>1990</v>
      </c>
    </row>
    <row r="10" spans="1:31" x14ac:dyDescent="0.2">
      <c r="A10">
        <v>0</v>
      </c>
      <c r="B10" t="s">
        <v>38</v>
      </c>
      <c r="C10" s="1">
        <v>34335</v>
      </c>
      <c r="D10">
        <v>20.6</v>
      </c>
      <c r="F10">
        <v>65.7</v>
      </c>
      <c r="G10" t="s">
        <v>30</v>
      </c>
      <c r="H10">
        <v>6.8571428571428568</v>
      </c>
      <c r="I10">
        <v>6.75</v>
      </c>
      <c r="J10">
        <v>6.75</v>
      </c>
      <c r="K10">
        <v>7</v>
      </c>
      <c r="L10">
        <v>63</v>
      </c>
      <c r="M10">
        <v>1</v>
      </c>
      <c r="N10">
        <v>-0.25</v>
      </c>
      <c r="O10">
        <v>0.25</v>
      </c>
      <c r="P10">
        <v>3.0000000000000027</v>
      </c>
      <c r="Q10">
        <v>15.730337078651679</v>
      </c>
      <c r="T10">
        <v>1.3888888888889062</v>
      </c>
      <c r="U10">
        <v>0.31354642313546421</v>
      </c>
      <c r="W10">
        <v>3.0000000000000027</v>
      </c>
      <c r="X10">
        <v>15.730337078651679</v>
      </c>
      <c r="AA10">
        <v>0.31354642313546421</v>
      </c>
      <c r="AC10">
        <v>14.144989995382474</v>
      </c>
      <c r="AD10" t="str">
        <f>tbl_mart[[#This Row],[boligtype_code]]&amp;"|"&amp;tbl_mart[[#This Row],[quarter]]</f>
        <v>0|1994Q1</v>
      </c>
      <c r="AE10" s="9">
        <f>INT(YEAR(tbl_mart[[#This Row],[quarter_start]])/10)*10</f>
        <v>1990</v>
      </c>
    </row>
    <row r="11" spans="1:31" x14ac:dyDescent="0.2">
      <c r="A11">
        <v>0</v>
      </c>
      <c r="B11" t="s">
        <v>39</v>
      </c>
      <c r="C11" s="1">
        <v>34425</v>
      </c>
      <c r="D11">
        <v>21.2</v>
      </c>
      <c r="F11">
        <v>65.7</v>
      </c>
      <c r="G11" t="s">
        <v>30</v>
      </c>
      <c r="H11">
        <v>6.75</v>
      </c>
      <c r="I11">
        <v>6.75</v>
      </c>
      <c r="J11">
        <v>6.75</v>
      </c>
      <c r="K11">
        <v>6.75</v>
      </c>
      <c r="L11">
        <v>60</v>
      </c>
      <c r="P11">
        <v>2.9126213592232997</v>
      </c>
      <c r="Q11">
        <v>13.36898395721926</v>
      </c>
      <c r="T11">
        <v>1.3888888888889062</v>
      </c>
      <c r="U11">
        <v>0.32267884322678841</v>
      </c>
      <c r="W11">
        <v>2.9126213592232997</v>
      </c>
      <c r="X11">
        <v>13.36898395721926</v>
      </c>
      <c r="AA11">
        <v>0.32267884322678841</v>
      </c>
      <c r="AC11">
        <v>11.815984176983374</v>
      </c>
      <c r="AD11" t="str">
        <f>tbl_mart[[#This Row],[boligtype_code]]&amp;"|"&amp;tbl_mart[[#This Row],[quarter]]</f>
        <v>0|1994Q2</v>
      </c>
      <c r="AE11" s="9">
        <f>INT(YEAR(tbl_mart[[#This Row],[quarter_start]])/10)*10</f>
        <v>1990</v>
      </c>
    </row>
    <row r="12" spans="1:31" x14ac:dyDescent="0.2">
      <c r="A12">
        <v>0</v>
      </c>
      <c r="B12" t="s">
        <v>40</v>
      </c>
      <c r="C12" s="1">
        <v>34516</v>
      </c>
      <c r="D12">
        <v>22.1</v>
      </c>
      <c r="F12">
        <v>65.7</v>
      </c>
      <c r="G12" t="s">
        <v>30</v>
      </c>
      <c r="H12">
        <v>6.75</v>
      </c>
      <c r="I12">
        <v>6.75</v>
      </c>
      <c r="J12">
        <v>6.75</v>
      </c>
      <c r="K12">
        <v>6.75</v>
      </c>
      <c r="L12">
        <v>66</v>
      </c>
      <c r="P12">
        <v>4.2452830188679291</v>
      </c>
      <c r="Q12">
        <v>13.917525773195894</v>
      </c>
      <c r="T12">
        <v>1.3888888888889062</v>
      </c>
      <c r="U12">
        <v>0.33637747336377471</v>
      </c>
      <c r="W12">
        <v>4.2452830188679291</v>
      </c>
      <c r="X12">
        <v>13.917525773195894</v>
      </c>
      <c r="AA12">
        <v>0.33637747336377471</v>
      </c>
      <c r="AC12">
        <v>12.357011721508249</v>
      </c>
      <c r="AD12" t="str">
        <f>tbl_mart[[#This Row],[boligtype_code]]&amp;"|"&amp;tbl_mart[[#This Row],[quarter]]</f>
        <v>0|1994Q3</v>
      </c>
      <c r="AE12" s="9">
        <f>INT(YEAR(tbl_mart[[#This Row],[quarter_start]])/10)*10</f>
        <v>1990</v>
      </c>
    </row>
    <row r="13" spans="1:31" x14ac:dyDescent="0.2">
      <c r="A13">
        <v>0</v>
      </c>
      <c r="B13" t="s">
        <v>41</v>
      </c>
      <c r="C13" s="1">
        <v>34608</v>
      </c>
      <c r="D13">
        <v>22</v>
      </c>
      <c r="F13">
        <v>65.7</v>
      </c>
      <c r="G13" t="s">
        <v>30</v>
      </c>
      <c r="H13">
        <v>6.75</v>
      </c>
      <c r="I13">
        <v>6.75</v>
      </c>
      <c r="J13">
        <v>6.75</v>
      </c>
      <c r="K13">
        <v>6.75</v>
      </c>
      <c r="L13">
        <v>64</v>
      </c>
      <c r="P13">
        <v>-0.45248868778281492</v>
      </c>
      <c r="Q13">
        <v>10.000000000000009</v>
      </c>
      <c r="T13">
        <v>1.3888888888889062</v>
      </c>
      <c r="U13">
        <v>0.33485540334855401</v>
      </c>
      <c r="W13">
        <v>-0.45248868778281492</v>
      </c>
      <c r="X13">
        <v>10.000000000000009</v>
      </c>
      <c r="AA13">
        <v>0.33485540334855401</v>
      </c>
      <c r="AC13">
        <v>8.4931506849314822</v>
      </c>
      <c r="AD13" t="str">
        <f>tbl_mart[[#This Row],[boligtype_code]]&amp;"|"&amp;tbl_mart[[#This Row],[quarter]]</f>
        <v>0|1994Q4</v>
      </c>
      <c r="AE13" s="9">
        <f>INT(YEAR(tbl_mart[[#This Row],[quarter_start]])/10)*10</f>
        <v>1990</v>
      </c>
    </row>
    <row r="14" spans="1:31" x14ac:dyDescent="0.2">
      <c r="A14">
        <v>0</v>
      </c>
      <c r="B14" t="s">
        <v>42</v>
      </c>
      <c r="C14" s="1">
        <v>34700</v>
      </c>
      <c r="D14">
        <v>22.1</v>
      </c>
      <c r="F14">
        <v>67.3</v>
      </c>
      <c r="G14" t="s">
        <v>30</v>
      </c>
      <c r="H14">
        <v>6.75</v>
      </c>
      <c r="I14">
        <v>6.75</v>
      </c>
      <c r="J14">
        <v>6.75</v>
      </c>
      <c r="K14">
        <v>6.75</v>
      </c>
      <c r="L14">
        <v>65</v>
      </c>
      <c r="P14">
        <v>0.45454545454546302</v>
      </c>
      <c r="Q14">
        <v>7.2815533980582492</v>
      </c>
      <c r="T14">
        <v>2.4353120243531201</v>
      </c>
      <c r="U14">
        <v>0.32838038632986633</v>
      </c>
      <c r="W14">
        <v>0.45454545454546302</v>
      </c>
      <c r="X14">
        <v>7.2815533980582492</v>
      </c>
      <c r="AA14">
        <v>0.32838038632986633</v>
      </c>
      <c r="AC14">
        <v>4.7310261255932851</v>
      </c>
      <c r="AD14" t="str">
        <f>tbl_mart[[#This Row],[boligtype_code]]&amp;"|"&amp;tbl_mart[[#This Row],[quarter]]</f>
        <v>0|1995Q1</v>
      </c>
      <c r="AE14" s="9">
        <f>INT(YEAR(tbl_mart[[#This Row],[quarter_start]])/10)*10</f>
        <v>1990</v>
      </c>
    </row>
    <row r="15" spans="1:31" x14ac:dyDescent="0.2">
      <c r="A15">
        <v>0</v>
      </c>
      <c r="B15" t="s">
        <v>43</v>
      </c>
      <c r="C15" s="1">
        <v>34790</v>
      </c>
      <c r="D15">
        <v>23</v>
      </c>
      <c r="F15">
        <v>67.3</v>
      </c>
      <c r="G15" t="s">
        <v>30</v>
      </c>
      <c r="H15">
        <v>6.75</v>
      </c>
      <c r="I15">
        <v>6.75</v>
      </c>
      <c r="J15">
        <v>6.75</v>
      </c>
      <c r="K15">
        <v>6.75</v>
      </c>
      <c r="L15">
        <v>58</v>
      </c>
      <c r="P15">
        <v>4.0723981900452344</v>
      </c>
      <c r="Q15">
        <v>8.4905660377358583</v>
      </c>
      <c r="T15">
        <v>2.4353120243531201</v>
      </c>
      <c r="U15">
        <v>0.34175334323922735</v>
      </c>
      <c r="W15">
        <v>4.0723981900452344</v>
      </c>
      <c r="X15">
        <v>8.4905660377358583</v>
      </c>
      <c r="AA15">
        <v>0.34175334323922735</v>
      </c>
      <c r="AC15">
        <v>5.9112955227228259</v>
      </c>
      <c r="AD15" t="str">
        <f>tbl_mart[[#This Row],[boligtype_code]]&amp;"|"&amp;tbl_mart[[#This Row],[quarter]]</f>
        <v>0|1995Q2</v>
      </c>
      <c r="AE15" s="9">
        <f>INT(YEAR(tbl_mart[[#This Row],[quarter_start]])/10)*10</f>
        <v>1990</v>
      </c>
    </row>
    <row r="16" spans="1:31" x14ac:dyDescent="0.2">
      <c r="A16">
        <v>0</v>
      </c>
      <c r="B16" t="s">
        <v>44</v>
      </c>
      <c r="C16" s="1">
        <v>34881</v>
      </c>
      <c r="D16">
        <v>23.4</v>
      </c>
      <c r="F16">
        <v>67.3</v>
      </c>
      <c r="G16" t="s">
        <v>30</v>
      </c>
      <c r="H16">
        <v>6.75</v>
      </c>
      <c r="I16">
        <v>6.75</v>
      </c>
      <c r="J16">
        <v>6.75</v>
      </c>
      <c r="K16">
        <v>6.75</v>
      </c>
      <c r="L16">
        <v>65</v>
      </c>
      <c r="P16">
        <v>1.7391304347825987</v>
      </c>
      <c r="Q16">
        <v>5.8823529411764497</v>
      </c>
      <c r="T16">
        <v>2.4353120243531201</v>
      </c>
      <c r="U16">
        <v>0.3476968796433878</v>
      </c>
      <c r="W16">
        <v>1.7391304347825987</v>
      </c>
      <c r="X16">
        <v>5.8823529411764497</v>
      </c>
      <c r="AA16">
        <v>0.3476968796433878</v>
      </c>
      <c r="AC16">
        <v>3.3650904641202795</v>
      </c>
      <c r="AD16" t="str">
        <f>tbl_mart[[#This Row],[boligtype_code]]&amp;"|"&amp;tbl_mart[[#This Row],[quarter]]</f>
        <v>0|1995Q3</v>
      </c>
      <c r="AE16" s="9">
        <f>INT(YEAR(tbl_mart[[#This Row],[quarter_start]])/10)*10</f>
        <v>1990</v>
      </c>
    </row>
    <row r="17" spans="1:31" x14ac:dyDescent="0.2">
      <c r="A17">
        <v>0</v>
      </c>
      <c r="B17" t="s">
        <v>45</v>
      </c>
      <c r="C17" s="1">
        <v>34973</v>
      </c>
      <c r="D17">
        <v>23.7</v>
      </c>
      <c r="F17">
        <v>67.3</v>
      </c>
      <c r="G17" t="s">
        <v>30</v>
      </c>
      <c r="H17">
        <v>6.75</v>
      </c>
      <c r="I17">
        <v>6.75</v>
      </c>
      <c r="J17">
        <v>6.75</v>
      </c>
      <c r="K17">
        <v>6.75</v>
      </c>
      <c r="L17">
        <v>63</v>
      </c>
      <c r="P17">
        <v>1.2820512820512775</v>
      </c>
      <c r="Q17">
        <v>7.727272727272716</v>
      </c>
      <c r="T17">
        <v>2.4353120243531201</v>
      </c>
      <c r="U17">
        <v>0.3521545319465082</v>
      </c>
      <c r="W17">
        <v>1.2820512820512775</v>
      </c>
      <c r="X17">
        <v>7.727272727272716</v>
      </c>
      <c r="AA17">
        <v>0.3521545319465082</v>
      </c>
      <c r="AC17">
        <v>5.1661488585708737</v>
      </c>
      <c r="AD17" t="str">
        <f>tbl_mart[[#This Row],[boligtype_code]]&amp;"|"&amp;tbl_mart[[#This Row],[quarter]]</f>
        <v>0|1995Q4</v>
      </c>
      <c r="AE17" s="9">
        <f>INT(YEAR(tbl_mart[[#This Row],[quarter_start]])/10)*10</f>
        <v>1990</v>
      </c>
    </row>
    <row r="18" spans="1:31" x14ac:dyDescent="0.2">
      <c r="A18">
        <v>0</v>
      </c>
      <c r="B18" t="s">
        <v>46</v>
      </c>
      <c r="C18" s="1">
        <v>35065</v>
      </c>
      <c r="D18">
        <v>23.9</v>
      </c>
      <c r="F18">
        <v>68.2</v>
      </c>
      <c r="G18" t="s">
        <v>30</v>
      </c>
      <c r="H18">
        <v>6.6875</v>
      </c>
      <c r="I18">
        <v>6.5</v>
      </c>
      <c r="J18">
        <v>6.5</v>
      </c>
      <c r="K18">
        <v>6.75</v>
      </c>
      <c r="L18">
        <v>64</v>
      </c>
      <c r="M18">
        <v>1</v>
      </c>
      <c r="N18">
        <v>-0.25</v>
      </c>
      <c r="O18">
        <v>0.25</v>
      </c>
      <c r="P18">
        <v>0.84388185654007408</v>
      </c>
      <c r="Q18">
        <v>8.1447963800904901</v>
      </c>
      <c r="T18">
        <v>1.3372956909361244</v>
      </c>
      <c r="U18">
        <v>0.35043988269794718</v>
      </c>
      <c r="W18">
        <v>0.84388185654007408</v>
      </c>
      <c r="X18">
        <v>8.1447963800904901</v>
      </c>
      <c r="AA18">
        <v>0.35043988269794718</v>
      </c>
      <c r="AC18">
        <v>6.7176656360716791</v>
      </c>
      <c r="AD18" t="str">
        <f>tbl_mart[[#This Row],[boligtype_code]]&amp;"|"&amp;tbl_mart[[#This Row],[quarter]]</f>
        <v>0|1996Q1</v>
      </c>
      <c r="AE18" s="9">
        <f>INT(YEAR(tbl_mart[[#This Row],[quarter_start]])/10)*10</f>
        <v>1990</v>
      </c>
    </row>
    <row r="19" spans="1:31" x14ac:dyDescent="0.2">
      <c r="A19">
        <v>0</v>
      </c>
      <c r="B19" t="s">
        <v>47</v>
      </c>
      <c r="C19" s="1">
        <v>35156</v>
      </c>
      <c r="D19">
        <v>25</v>
      </c>
      <c r="F19">
        <v>68.2</v>
      </c>
      <c r="G19" t="s">
        <v>30</v>
      </c>
      <c r="H19">
        <v>6.5</v>
      </c>
      <c r="I19">
        <v>6.5</v>
      </c>
      <c r="J19">
        <v>6.5</v>
      </c>
      <c r="K19">
        <v>6.5</v>
      </c>
      <c r="L19">
        <v>58</v>
      </c>
      <c r="P19">
        <v>4.6025104602510414</v>
      </c>
      <c r="Q19">
        <v>8.6956521739130377</v>
      </c>
      <c r="T19">
        <v>1.3372956909361244</v>
      </c>
      <c r="U19">
        <v>0.36656891495601174</v>
      </c>
      <c r="W19">
        <v>4.6025104602510414</v>
      </c>
      <c r="X19">
        <v>8.6956521739130377</v>
      </c>
      <c r="AA19">
        <v>0.36656891495601174</v>
      </c>
      <c r="AC19">
        <v>7.2612520719112617</v>
      </c>
      <c r="AD19" t="str">
        <f>tbl_mart[[#This Row],[boligtype_code]]&amp;"|"&amp;tbl_mart[[#This Row],[quarter]]</f>
        <v>0|1996Q2</v>
      </c>
      <c r="AE19" s="9">
        <f>INT(YEAR(tbl_mart[[#This Row],[quarter_start]])/10)*10</f>
        <v>1990</v>
      </c>
    </row>
    <row r="20" spans="1:31" x14ac:dyDescent="0.2">
      <c r="A20">
        <v>0</v>
      </c>
      <c r="B20" t="s">
        <v>48</v>
      </c>
      <c r="C20" s="1">
        <v>35247</v>
      </c>
      <c r="D20">
        <v>25.5</v>
      </c>
      <c r="F20">
        <v>68.2</v>
      </c>
      <c r="G20" t="s">
        <v>30</v>
      </c>
      <c r="H20">
        <v>6.5</v>
      </c>
      <c r="I20">
        <v>6.5</v>
      </c>
      <c r="J20">
        <v>6.5</v>
      </c>
      <c r="K20">
        <v>6.5</v>
      </c>
      <c r="L20">
        <v>66</v>
      </c>
      <c r="P20">
        <v>2.0000000000000018</v>
      </c>
      <c r="Q20">
        <v>8.9743589743589869</v>
      </c>
      <c r="T20">
        <v>1.3372956909361244</v>
      </c>
      <c r="U20">
        <v>0.37390029325513197</v>
      </c>
      <c r="W20">
        <v>2.0000000000000018</v>
      </c>
      <c r="X20">
        <v>8.9743589743589869</v>
      </c>
      <c r="AA20">
        <v>0.37390029325513197</v>
      </c>
      <c r="AC20">
        <v>7.5362809233777028</v>
      </c>
      <c r="AD20" t="str">
        <f>tbl_mart[[#This Row],[boligtype_code]]&amp;"|"&amp;tbl_mart[[#This Row],[quarter]]</f>
        <v>0|1996Q3</v>
      </c>
      <c r="AE20" s="9">
        <f>INT(YEAR(tbl_mart[[#This Row],[quarter_start]])/10)*10</f>
        <v>1990</v>
      </c>
    </row>
    <row r="21" spans="1:31" x14ac:dyDescent="0.2">
      <c r="A21">
        <v>0</v>
      </c>
      <c r="B21" t="s">
        <v>49</v>
      </c>
      <c r="C21" s="1">
        <v>35339</v>
      </c>
      <c r="D21">
        <v>26.1</v>
      </c>
      <c r="F21">
        <v>68.2</v>
      </c>
      <c r="G21" t="s">
        <v>30</v>
      </c>
      <c r="H21">
        <v>6.209677419354839</v>
      </c>
      <c r="I21">
        <v>6</v>
      </c>
      <c r="J21">
        <v>6</v>
      </c>
      <c r="K21">
        <v>6.5</v>
      </c>
      <c r="L21">
        <v>62</v>
      </c>
      <c r="M21">
        <v>1</v>
      </c>
      <c r="N21">
        <v>-0.5</v>
      </c>
      <c r="O21">
        <v>0.5</v>
      </c>
      <c r="P21">
        <v>2.3529411764706021</v>
      </c>
      <c r="Q21">
        <v>10.126582278481022</v>
      </c>
      <c r="T21">
        <v>1.3372956909361244</v>
      </c>
      <c r="U21">
        <v>0.38269794721407624</v>
      </c>
      <c r="W21">
        <v>2.3529411764706021</v>
      </c>
      <c r="X21">
        <v>10.126582278481022</v>
      </c>
      <c r="AA21">
        <v>0.38269794721407624</v>
      </c>
      <c r="AC21">
        <v>8.6732989346300684</v>
      </c>
      <c r="AD21" t="str">
        <f>tbl_mart[[#This Row],[boligtype_code]]&amp;"|"&amp;tbl_mart[[#This Row],[quarter]]</f>
        <v>0|1996Q4</v>
      </c>
      <c r="AE21" s="9">
        <f>INT(YEAR(tbl_mart[[#This Row],[quarter_start]])/10)*10</f>
        <v>1990</v>
      </c>
    </row>
    <row r="22" spans="1:31" x14ac:dyDescent="0.2">
      <c r="A22">
        <v>0</v>
      </c>
      <c r="B22" t="s">
        <v>50</v>
      </c>
      <c r="C22" s="1">
        <v>35431</v>
      </c>
      <c r="D22">
        <v>26.5</v>
      </c>
      <c r="F22">
        <v>69.900000000000006</v>
      </c>
      <c r="G22" t="s">
        <v>30</v>
      </c>
      <c r="H22">
        <v>5.3166666666666664</v>
      </c>
      <c r="I22">
        <v>5.25</v>
      </c>
      <c r="J22">
        <v>5.25</v>
      </c>
      <c r="K22">
        <v>6</v>
      </c>
      <c r="L22">
        <v>60</v>
      </c>
      <c r="M22">
        <v>2</v>
      </c>
      <c r="N22">
        <v>-0.75</v>
      </c>
      <c r="O22">
        <v>0.75</v>
      </c>
      <c r="P22">
        <v>1.5325670498084198</v>
      </c>
      <c r="Q22">
        <v>10.878661087866126</v>
      </c>
      <c r="T22">
        <v>2.4926686217008776</v>
      </c>
      <c r="U22">
        <v>0.37911301859799712</v>
      </c>
      <c r="W22">
        <v>1.5325670498084198</v>
      </c>
      <c r="X22">
        <v>10.878661087866126</v>
      </c>
      <c r="AA22">
        <v>0.37911301859799712</v>
      </c>
      <c r="AC22">
        <v>8.1820412903071293</v>
      </c>
      <c r="AD22" t="str">
        <f>tbl_mart[[#This Row],[boligtype_code]]&amp;"|"&amp;tbl_mart[[#This Row],[quarter]]</f>
        <v>0|1997Q1</v>
      </c>
      <c r="AE22" s="9">
        <f>INT(YEAR(tbl_mart[[#This Row],[quarter_start]])/10)*10</f>
        <v>1990</v>
      </c>
    </row>
    <row r="23" spans="1:31" x14ac:dyDescent="0.2">
      <c r="A23">
        <v>0</v>
      </c>
      <c r="B23" t="s">
        <v>51</v>
      </c>
      <c r="C23" s="1">
        <v>35521</v>
      </c>
      <c r="D23">
        <v>28.4</v>
      </c>
      <c r="F23">
        <v>69.900000000000006</v>
      </c>
      <c r="G23" t="s">
        <v>30</v>
      </c>
      <c r="H23">
        <v>5.25</v>
      </c>
      <c r="I23">
        <v>5.25</v>
      </c>
      <c r="J23">
        <v>5.25</v>
      </c>
      <c r="K23">
        <v>5.25</v>
      </c>
      <c r="L23">
        <v>62</v>
      </c>
      <c r="P23">
        <v>7.1698113207547154</v>
      </c>
      <c r="Q23">
        <v>13.599999999999991</v>
      </c>
      <c r="T23">
        <v>2.4926686217008776</v>
      </c>
      <c r="U23">
        <v>0.40629470672389123</v>
      </c>
      <c r="W23">
        <v>7.1698113207547154</v>
      </c>
      <c r="X23">
        <v>13.599999999999991</v>
      </c>
      <c r="AA23">
        <v>0.40629470672389123</v>
      </c>
      <c r="AC23">
        <v>10.837195994277526</v>
      </c>
      <c r="AD23" t="str">
        <f>tbl_mart[[#This Row],[boligtype_code]]&amp;"|"&amp;tbl_mart[[#This Row],[quarter]]</f>
        <v>0|1997Q2</v>
      </c>
      <c r="AE23" s="9">
        <f>INT(YEAR(tbl_mart[[#This Row],[quarter_start]])/10)*10</f>
        <v>1990</v>
      </c>
    </row>
    <row r="24" spans="1:31" x14ac:dyDescent="0.2">
      <c r="A24">
        <v>0</v>
      </c>
      <c r="B24" t="s">
        <v>52</v>
      </c>
      <c r="C24" s="1">
        <v>35612</v>
      </c>
      <c r="D24">
        <v>28.6</v>
      </c>
      <c r="F24">
        <v>69.900000000000006</v>
      </c>
      <c r="G24" t="s">
        <v>30</v>
      </c>
      <c r="H24">
        <v>5.458333333333333</v>
      </c>
      <c r="I24">
        <v>5.5</v>
      </c>
      <c r="J24">
        <v>5.25</v>
      </c>
      <c r="K24">
        <v>5.5</v>
      </c>
      <c r="L24">
        <v>66</v>
      </c>
      <c r="M24">
        <v>1</v>
      </c>
      <c r="N24">
        <v>0.25</v>
      </c>
      <c r="O24">
        <v>0.25</v>
      </c>
      <c r="P24">
        <v>0.70422535211267512</v>
      </c>
      <c r="Q24">
        <v>12.15686274509804</v>
      </c>
      <c r="T24">
        <v>2.4926686217008776</v>
      </c>
      <c r="U24">
        <v>0.40915593705293274</v>
      </c>
      <c r="W24">
        <v>0.70422535211267512</v>
      </c>
      <c r="X24">
        <v>12.15686274509804</v>
      </c>
      <c r="AA24">
        <v>0.40915593705293274</v>
      </c>
      <c r="AC24">
        <v>9.4291564980784734</v>
      </c>
      <c r="AD24" t="str">
        <f>tbl_mart[[#This Row],[boligtype_code]]&amp;"|"&amp;tbl_mart[[#This Row],[quarter]]</f>
        <v>0|1997Q3</v>
      </c>
      <c r="AE24" s="9">
        <f>INT(YEAR(tbl_mart[[#This Row],[quarter_start]])/10)*10</f>
        <v>1990</v>
      </c>
    </row>
    <row r="25" spans="1:31" x14ac:dyDescent="0.2">
      <c r="A25">
        <v>0</v>
      </c>
      <c r="B25" t="s">
        <v>53</v>
      </c>
      <c r="C25" s="1">
        <v>35704</v>
      </c>
      <c r="D25">
        <v>29</v>
      </c>
      <c r="F25">
        <v>69.900000000000006</v>
      </c>
      <c r="G25" t="s">
        <v>30</v>
      </c>
      <c r="H25">
        <v>5.5</v>
      </c>
      <c r="I25">
        <v>5.5</v>
      </c>
      <c r="J25">
        <v>5.5</v>
      </c>
      <c r="K25">
        <v>5.5</v>
      </c>
      <c r="L25">
        <v>64</v>
      </c>
      <c r="P25">
        <v>1.3986013986013957</v>
      </c>
      <c r="Q25">
        <v>11.111111111111116</v>
      </c>
      <c r="T25">
        <v>2.4926686217008776</v>
      </c>
      <c r="U25">
        <v>0.4148783977110157</v>
      </c>
      <c r="W25">
        <v>1.3986013986013957</v>
      </c>
      <c r="X25">
        <v>11.111111111111116</v>
      </c>
      <c r="AA25">
        <v>0.4148783977110157</v>
      </c>
      <c r="AC25">
        <v>8.4088380225719295</v>
      </c>
      <c r="AD25" t="str">
        <f>tbl_mart[[#This Row],[boligtype_code]]&amp;"|"&amp;tbl_mart[[#This Row],[quarter]]</f>
        <v>0|1997Q4</v>
      </c>
      <c r="AE25" s="9">
        <f>INT(YEAR(tbl_mart[[#This Row],[quarter_start]])/10)*10</f>
        <v>1990</v>
      </c>
    </row>
    <row r="26" spans="1:31" x14ac:dyDescent="0.2">
      <c r="A26">
        <v>0</v>
      </c>
      <c r="B26" t="s">
        <v>54</v>
      </c>
      <c r="C26" s="1">
        <v>35796</v>
      </c>
      <c r="D26">
        <v>30.2</v>
      </c>
      <c r="F26">
        <v>71.5</v>
      </c>
      <c r="G26" t="s">
        <v>30</v>
      </c>
      <c r="H26">
        <v>5.5357142857142856</v>
      </c>
      <c r="I26">
        <v>5.75</v>
      </c>
      <c r="J26">
        <v>5.5</v>
      </c>
      <c r="K26">
        <v>5.75</v>
      </c>
      <c r="L26">
        <v>63</v>
      </c>
      <c r="M26">
        <v>1</v>
      </c>
      <c r="N26">
        <v>0.25</v>
      </c>
      <c r="O26">
        <v>0.25</v>
      </c>
      <c r="P26">
        <v>4.1379310344827669</v>
      </c>
      <c r="Q26">
        <v>13.962264150943394</v>
      </c>
      <c r="T26">
        <v>2.2889842632331847</v>
      </c>
      <c r="U26">
        <v>0.42237762237762239</v>
      </c>
      <c r="W26">
        <v>4.1379310344827669</v>
      </c>
      <c r="X26">
        <v>13.962264150943394</v>
      </c>
      <c r="AA26">
        <v>0.42237762237762239</v>
      </c>
      <c r="AC26">
        <v>11.412059638474737</v>
      </c>
      <c r="AD26" t="str">
        <f>tbl_mart[[#This Row],[boligtype_code]]&amp;"|"&amp;tbl_mart[[#This Row],[quarter]]</f>
        <v>0|1998Q1</v>
      </c>
      <c r="AE26" s="9">
        <f>INT(YEAR(tbl_mart[[#This Row],[quarter_start]])/10)*10</f>
        <v>1990</v>
      </c>
    </row>
    <row r="27" spans="1:31" x14ac:dyDescent="0.2">
      <c r="A27">
        <v>0</v>
      </c>
      <c r="B27" t="s">
        <v>55</v>
      </c>
      <c r="C27" s="1">
        <v>35886</v>
      </c>
      <c r="D27">
        <v>32.1</v>
      </c>
      <c r="F27">
        <v>71.5</v>
      </c>
      <c r="G27" t="s">
        <v>30</v>
      </c>
      <c r="H27">
        <v>5.9788135593220337</v>
      </c>
      <c r="I27">
        <v>6.5</v>
      </c>
      <c r="J27">
        <v>5.75</v>
      </c>
      <c r="K27">
        <v>6.5</v>
      </c>
      <c r="L27">
        <v>59</v>
      </c>
      <c r="M27">
        <v>2</v>
      </c>
      <c r="N27">
        <v>0.75</v>
      </c>
      <c r="O27">
        <v>0.75</v>
      </c>
      <c r="P27">
        <v>6.29139072847682</v>
      </c>
      <c r="Q27">
        <v>13.028169014084522</v>
      </c>
      <c r="T27">
        <v>2.2889842632331847</v>
      </c>
      <c r="U27">
        <v>0.44895104895104898</v>
      </c>
      <c r="W27">
        <v>6.29139072847682</v>
      </c>
      <c r="X27">
        <v>13.028169014084522</v>
      </c>
      <c r="AA27">
        <v>0.44895104895104898</v>
      </c>
      <c r="AC27">
        <v>10.498867329853256</v>
      </c>
      <c r="AD27" t="str">
        <f>tbl_mart[[#This Row],[boligtype_code]]&amp;"|"&amp;tbl_mart[[#This Row],[quarter]]</f>
        <v>0|1998Q2</v>
      </c>
      <c r="AE27" s="9">
        <f>INT(YEAR(tbl_mart[[#This Row],[quarter_start]])/10)*10</f>
        <v>1990</v>
      </c>
    </row>
    <row r="28" spans="1:31" x14ac:dyDescent="0.2">
      <c r="A28">
        <v>0</v>
      </c>
      <c r="B28" t="s">
        <v>56</v>
      </c>
      <c r="C28" s="1">
        <v>35977</v>
      </c>
      <c r="D28">
        <v>31.8</v>
      </c>
      <c r="F28">
        <v>71.5</v>
      </c>
      <c r="G28" t="s">
        <v>30</v>
      </c>
      <c r="H28">
        <v>8.3181818181818183</v>
      </c>
      <c r="I28">
        <v>10</v>
      </c>
      <c r="J28">
        <v>6.5</v>
      </c>
      <c r="K28">
        <v>10</v>
      </c>
      <c r="L28">
        <v>66</v>
      </c>
      <c r="M28">
        <v>4</v>
      </c>
      <c r="N28">
        <v>3.5</v>
      </c>
      <c r="O28">
        <v>3.5</v>
      </c>
      <c r="P28">
        <v>-0.93457943925233655</v>
      </c>
      <c r="Q28">
        <v>11.188811188811187</v>
      </c>
      <c r="T28">
        <v>2.2889842632331847</v>
      </c>
      <c r="U28">
        <v>0.44475524475524475</v>
      </c>
      <c r="W28">
        <v>-0.93457943925233655</v>
      </c>
      <c r="X28">
        <v>11.188811188811187</v>
      </c>
      <c r="AA28">
        <v>0.44475524475524475</v>
      </c>
      <c r="AC28">
        <v>8.7006699594112327</v>
      </c>
      <c r="AD28" t="str">
        <f>tbl_mart[[#This Row],[boligtype_code]]&amp;"|"&amp;tbl_mart[[#This Row],[quarter]]</f>
        <v>0|1998Q3</v>
      </c>
      <c r="AE28" s="9">
        <f>INT(YEAR(tbl_mart[[#This Row],[quarter_start]])/10)*10</f>
        <v>1990</v>
      </c>
    </row>
    <row r="29" spans="1:31" x14ac:dyDescent="0.2">
      <c r="A29">
        <v>0</v>
      </c>
      <c r="B29" t="s">
        <v>57</v>
      </c>
      <c r="C29" s="1">
        <v>36069</v>
      </c>
      <c r="D29">
        <v>30.9</v>
      </c>
      <c r="F29">
        <v>71.5</v>
      </c>
      <c r="G29" t="s">
        <v>30</v>
      </c>
      <c r="H29">
        <v>10</v>
      </c>
      <c r="I29">
        <v>10</v>
      </c>
      <c r="J29">
        <v>10</v>
      </c>
      <c r="K29">
        <v>10</v>
      </c>
      <c r="L29">
        <v>65</v>
      </c>
      <c r="P29">
        <v>-2.8301886792452935</v>
      </c>
      <c r="Q29">
        <v>6.5517241379310365</v>
      </c>
      <c r="T29">
        <v>2.2889842632331847</v>
      </c>
      <c r="U29">
        <v>0.43216783216783217</v>
      </c>
      <c r="W29">
        <v>-2.8301886792452935</v>
      </c>
      <c r="X29">
        <v>6.5517241379310365</v>
      </c>
      <c r="AA29">
        <v>0.43216783216783217</v>
      </c>
      <c r="AC29">
        <v>4.1673498914878371</v>
      </c>
      <c r="AD29" t="str">
        <f>tbl_mart[[#This Row],[boligtype_code]]&amp;"|"&amp;tbl_mart[[#This Row],[quarter]]</f>
        <v>0|1998Q4</v>
      </c>
      <c r="AE29" s="9">
        <f>INT(YEAR(tbl_mart[[#This Row],[quarter_start]])/10)*10</f>
        <v>1990</v>
      </c>
    </row>
    <row r="30" spans="1:31" x14ac:dyDescent="0.2">
      <c r="A30">
        <v>0</v>
      </c>
      <c r="B30" t="s">
        <v>58</v>
      </c>
      <c r="C30" s="1">
        <v>36161</v>
      </c>
      <c r="D30">
        <v>32.1</v>
      </c>
      <c r="F30">
        <v>73.2</v>
      </c>
      <c r="G30" t="s">
        <v>30</v>
      </c>
      <c r="H30">
        <v>9.4761904761904763</v>
      </c>
      <c r="I30">
        <v>9</v>
      </c>
      <c r="J30">
        <v>9</v>
      </c>
      <c r="K30">
        <v>10</v>
      </c>
      <c r="L30">
        <v>63</v>
      </c>
      <c r="M30">
        <v>2</v>
      </c>
      <c r="N30">
        <v>-1</v>
      </c>
      <c r="O30">
        <v>1</v>
      </c>
      <c r="P30">
        <v>3.8834951456310662</v>
      </c>
      <c r="Q30">
        <v>6.29139072847682</v>
      </c>
      <c r="T30">
        <v>2.3776223776223793</v>
      </c>
      <c r="U30">
        <v>0.43852459016393441</v>
      </c>
      <c r="W30">
        <v>3.8834951456310662</v>
      </c>
      <c r="X30">
        <v>6.29139072847682</v>
      </c>
      <c r="AA30">
        <v>0.43852459016393441</v>
      </c>
      <c r="AC30">
        <v>3.8228748235805021</v>
      </c>
      <c r="AD30" t="str">
        <f>tbl_mart[[#This Row],[boligtype_code]]&amp;"|"&amp;tbl_mart[[#This Row],[quarter]]</f>
        <v>0|1999Q1</v>
      </c>
      <c r="AE30" s="9">
        <f>INT(YEAR(tbl_mart[[#This Row],[quarter_start]])/10)*10</f>
        <v>1990</v>
      </c>
    </row>
    <row r="31" spans="1:31" x14ac:dyDescent="0.2">
      <c r="A31">
        <v>0</v>
      </c>
      <c r="B31" t="s">
        <v>59</v>
      </c>
      <c r="C31" s="1">
        <v>36251</v>
      </c>
      <c r="D31">
        <v>34.700000000000003</v>
      </c>
      <c r="F31">
        <v>73.2</v>
      </c>
      <c r="G31" t="s">
        <v>30</v>
      </c>
      <c r="H31">
        <v>8.5338983050847457</v>
      </c>
      <c r="I31">
        <v>8</v>
      </c>
      <c r="J31">
        <v>8</v>
      </c>
      <c r="K31">
        <v>9</v>
      </c>
      <c r="L31">
        <v>59</v>
      </c>
      <c r="M31">
        <v>2</v>
      </c>
      <c r="N31">
        <v>-1</v>
      </c>
      <c r="O31">
        <v>1</v>
      </c>
      <c r="P31">
        <v>8.0996884735202492</v>
      </c>
      <c r="Q31">
        <v>8.0996884735202492</v>
      </c>
      <c r="T31">
        <v>2.3776223776223793</v>
      </c>
      <c r="U31">
        <v>0.47404371584699456</v>
      </c>
      <c r="W31">
        <v>8.0996884735202492</v>
      </c>
      <c r="X31">
        <v>8.0996884735202492</v>
      </c>
      <c r="AA31">
        <v>0.47404371584699456</v>
      </c>
      <c r="AC31">
        <v>5.5891765827417617</v>
      </c>
      <c r="AD31" t="str">
        <f>tbl_mart[[#This Row],[boligtype_code]]&amp;"|"&amp;tbl_mart[[#This Row],[quarter]]</f>
        <v>0|1999Q2</v>
      </c>
      <c r="AE31" s="9">
        <f>INT(YEAR(tbl_mart[[#This Row],[quarter_start]])/10)*10</f>
        <v>1990</v>
      </c>
    </row>
    <row r="32" spans="1:31" x14ac:dyDescent="0.2">
      <c r="A32">
        <v>0</v>
      </c>
      <c r="B32" t="s">
        <v>60</v>
      </c>
      <c r="C32" s="1">
        <v>36342</v>
      </c>
      <c r="D32">
        <v>35.4</v>
      </c>
      <c r="F32">
        <v>73.2</v>
      </c>
      <c r="G32" t="s">
        <v>30</v>
      </c>
      <c r="H32">
        <v>7.9545454545454541</v>
      </c>
      <c r="I32">
        <v>7.5</v>
      </c>
      <c r="J32">
        <v>7.5</v>
      </c>
      <c r="K32">
        <v>8</v>
      </c>
      <c r="L32">
        <v>66</v>
      </c>
      <c r="M32">
        <v>1</v>
      </c>
      <c r="N32">
        <v>-0.5</v>
      </c>
      <c r="O32">
        <v>0.5</v>
      </c>
      <c r="P32">
        <v>2.0172910662824117</v>
      </c>
      <c r="Q32">
        <v>11.32075471698113</v>
      </c>
      <c r="T32">
        <v>2.3776223776223793</v>
      </c>
      <c r="U32">
        <v>0.48360655737704916</v>
      </c>
      <c r="W32">
        <v>2.0172910662824117</v>
      </c>
      <c r="X32">
        <v>11.32075471698113</v>
      </c>
      <c r="AA32">
        <v>0.48360655737704916</v>
      </c>
      <c r="AC32">
        <v>8.7354366429528874</v>
      </c>
      <c r="AD32" t="str">
        <f>tbl_mart[[#This Row],[boligtype_code]]&amp;"|"&amp;tbl_mart[[#This Row],[quarter]]</f>
        <v>0|1999Q3</v>
      </c>
      <c r="AE32" s="9">
        <f>INT(YEAR(tbl_mart[[#This Row],[quarter_start]])/10)*10</f>
        <v>1990</v>
      </c>
    </row>
    <row r="33" spans="1:31" x14ac:dyDescent="0.2">
      <c r="A33">
        <v>0</v>
      </c>
      <c r="B33" t="s">
        <v>61</v>
      </c>
      <c r="C33" s="1">
        <v>36434</v>
      </c>
      <c r="D33">
        <v>36.700000000000003</v>
      </c>
      <c r="F33">
        <v>73.2</v>
      </c>
      <c r="G33" t="s">
        <v>30</v>
      </c>
      <c r="H33">
        <v>7.5</v>
      </c>
      <c r="I33">
        <v>7.5</v>
      </c>
      <c r="J33">
        <v>7.5</v>
      </c>
      <c r="K33">
        <v>7.5</v>
      </c>
      <c r="L33">
        <v>66</v>
      </c>
      <c r="P33">
        <v>3.672316384180796</v>
      </c>
      <c r="Q33">
        <v>18.77022653721685</v>
      </c>
      <c r="T33">
        <v>2.3776223776223793</v>
      </c>
      <c r="U33">
        <v>0.50136612021857929</v>
      </c>
      <c r="W33">
        <v>3.672316384180796</v>
      </c>
      <c r="X33">
        <v>18.77022653721685</v>
      </c>
      <c r="AA33">
        <v>0.50136612021857929</v>
      </c>
      <c r="AC33">
        <v>16.011901603975474</v>
      </c>
      <c r="AD33" t="str">
        <f>tbl_mart[[#This Row],[boligtype_code]]&amp;"|"&amp;tbl_mart[[#This Row],[quarter]]</f>
        <v>0|1999Q4</v>
      </c>
      <c r="AE33" s="9">
        <f>INT(YEAR(tbl_mart[[#This Row],[quarter_start]])/10)*10</f>
        <v>1990</v>
      </c>
    </row>
    <row r="34" spans="1:31" x14ac:dyDescent="0.2">
      <c r="A34">
        <v>0</v>
      </c>
      <c r="B34" t="s">
        <v>62</v>
      </c>
      <c r="C34" s="1">
        <v>36526</v>
      </c>
      <c r="D34">
        <v>38.9</v>
      </c>
      <c r="F34">
        <v>75.5</v>
      </c>
      <c r="G34" t="s">
        <v>30</v>
      </c>
      <c r="H34">
        <v>7.5</v>
      </c>
      <c r="I34">
        <v>7.5</v>
      </c>
      <c r="J34">
        <v>7.5</v>
      </c>
      <c r="K34">
        <v>7.5</v>
      </c>
      <c r="L34">
        <v>65</v>
      </c>
      <c r="P34">
        <v>5.9945504087193235</v>
      </c>
      <c r="Q34">
        <v>21.183800623052939</v>
      </c>
      <c r="T34">
        <v>3.1420765027322384</v>
      </c>
      <c r="U34">
        <v>0.51523178807947023</v>
      </c>
      <c r="W34">
        <v>5.9945504087193235</v>
      </c>
      <c r="X34">
        <v>21.183800623052939</v>
      </c>
      <c r="AA34">
        <v>0.51523178807947023</v>
      </c>
      <c r="AC34">
        <v>17.492108683542739</v>
      </c>
      <c r="AD34" t="str">
        <f>tbl_mart[[#This Row],[boligtype_code]]&amp;"|"&amp;tbl_mart[[#This Row],[quarter]]</f>
        <v>0|2000Q1</v>
      </c>
      <c r="AE34" s="9">
        <f>INT(YEAR(tbl_mart[[#This Row],[quarter_start]])/10)*10</f>
        <v>2000</v>
      </c>
    </row>
    <row r="35" spans="1:31" x14ac:dyDescent="0.2">
      <c r="A35">
        <v>0</v>
      </c>
      <c r="B35" t="s">
        <v>63</v>
      </c>
      <c r="C35" s="1">
        <v>36617</v>
      </c>
      <c r="D35">
        <v>41.5</v>
      </c>
      <c r="F35">
        <v>75.5</v>
      </c>
      <c r="G35" t="s">
        <v>30</v>
      </c>
      <c r="H35">
        <v>7.818965517241379</v>
      </c>
      <c r="I35">
        <v>8.25</v>
      </c>
      <c r="J35">
        <v>7.5</v>
      </c>
      <c r="K35">
        <v>8.25</v>
      </c>
      <c r="L35">
        <v>58</v>
      </c>
      <c r="M35">
        <v>2</v>
      </c>
      <c r="N35">
        <v>0.75</v>
      </c>
      <c r="O35">
        <v>0.75</v>
      </c>
      <c r="P35">
        <v>6.6838046272493568</v>
      </c>
      <c r="Q35">
        <v>19.596541786743504</v>
      </c>
      <c r="T35">
        <v>3.1420765027322384</v>
      </c>
      <c r="U35">
        <v>0.54966887417218546</v>
      </c>
      <c r="W35">
        <v>6.6838046272493568</v>
      </c>
      <c r="X35">
        <v>19.596541786743504</v>
      </c>
      <c r="AA35">
        <v>0.54966887417218546</v>
      </c>
      <c r="AC35">
        <v>15.953203427677165</v>
      </c>
      <c r="AD35" t="str">
        <f>tbl_mart[[#This Row],[boligtype_code]]&amp;"|"&amp;tbl_mart[[#This Row],[quarter]]</f>
        <v>0|2000Q2</v>
      </c>
      <c r="AE35" s="9">
        <f>INT(YEAR(tbl_mart[[#This Row],[quarter_start]])/10)*10</f>
        <v>2000</v>
      </c>
    </row>
    <row r="36" spans="1:31" x14ac:dyDescent="0.2">
      <c r="A36">
        <v>0</v>
      </c>
      <c r="B36" t="s">
        <v>64</v>
      </c>
      <c r="C36" s="1">
        <v>36708</v>
      </c>
      <c r="D36">
        <v>40.299999999999997</v>
      </c>
      <c r="F36">
        <v>75.5</v>
      </c>
      <c r="G36" t="s">
        <v>30</v>
      </c>
      <c r="H36">
        <v>8.5615384615384613</v>
      </c>
      <c r="I36">
        <v>9</v>
      </c>
      <c r="J36">
        <v>8.25</v>
      </c>
      <c r="K36">
        <v>9</v>
      </c>
      <c r="L36">
        <v>65</v>
      </c>
      <c r="M36">
        <v>2</v>
      </c>
      <c r="N36">
        <v>0.75</v>
      </c>
      <c r="O36">
        <v>0.75</v>
      </c>
      <c r="P36">
        <v>-2.8915662650602525</v>
      </c>
      <c r="Q36">
        <v>13.841807909604519</v>
      </c>
      <c r="T36">
        <v>3.1420765027322384</v>
      </c>
      <c r="U36">
        <v>0.53377483443708607</v>
      </c>
      <c r="W36">
        <v>-2.8915662650602525</v>
      </c>
      <c r="X36">
        <v>13.841807909604519</v>
      </c>
      <c r="AA36">
        <v>0.53377483443708607</v>
      </c>
      <c r="AC36">
        <v>10.373779324278809</v>
      </c>
      <c r="AD36" t="str">
        <f>tbl_mart[[#This Row],[boligtype_code]]&amp;"|"&amp;tbl_mart[[#This Row],[quarter]]</f>
        <v>0|2000Q3</v>
      </c>
      <c r="AE36" s="9">
        <f>INT(YEAR(tbl_mart[[#This Row],[quarter_start]])/10)*10</f>
        <v>2000</v>
      </c>
    </row>
    <row r="37" spans="1:31" x14ac:dyDescent="0.2">
      <c r="A37">
        <v>0</v>
      </c>
      <c r="B37" t="s">
        <v>65</v>
      </c>
      <c r="C37" s="1">
        <v>36800</v>
      </c>
      <c r="D37">
        <v>40.299999999999997</v>
      </c>
      <c r="F37">
        <v>75.5</v>
      </c>
      <c r="G37" t="s">
        <v>30</v>
      </c>
      <c r="H37">
        <v>9</v>
      </c>
      <c r="I37">
        <v>9</v>
      </c>
      <c r="J37">
        <v>9</v>
      </c>
      <c r="K37">
        <v>9</v>
      </c>
      <c r="L37">
        <v>63</v>
      </c>
      <c r="P37">
        <v>0</v>
      </c>
      <c r="Q37">
        <v>9.809264305177102</v>
      </c>
      <c r="T37">
        <v>3.1420765027322384</v>
      </c>
      <c r="U37">
        <v>0.53377483443708607</v>
      </c>
      <c r="W37">
        <v>0</v>
      </c>
      <c r="X37">
        <v>9.809264305177102</v>
      </c>
      <c r="AA37">
        <v>0.53377483443708607</v>
      </c>
      <c r="AC37">
        <v>6.46408141905912</v>
      </c>
      <c r="AD37" t="str">
        <f>tbl_mart[[#This Row],[boligtype_code]]&amp;"|"&amp;tbl_mart[[#This Row],[quarter]]</f>
        <v>0|2000Q4</v>
      </c>
      <c r="AE37" s="9">
        <f>INT(YEAR(tbl_mart[[#This Row],[quarter_start]])/10)*10</f>
        <v>2000</v>
      </c>
    </row>
    <row r="38" spans="1:31" x14ac:dyDescent="0.2">
      <c r="A38">
        <v>0</v>
      </c>
      <c r="B38" t="s">
        <v>66</v>
      </c>
      <c r="C38" s="1">
        <v>36892</v>
      </c>
      <c r="D38">
        <v>41.7</v>
      </c>
      <c r="F38">
        <v>77.7</v>
      </c>
      <c r="G38" t="s">
        <v>30</v>
      </c>
      <c r="H38">
        <v>9</v>
      </c>
      <c r="I38">
        <v>9</v>
      </c>
      <c r="J38">
        <v>9</v>
      </c>
      <c r="K38">
        <v>9</v>
      </c>
      <c r="L38">
        <v>61</v>
      </c>
      <c r="P38">
        <v>3.473945409429291</v>
      </c>
      <c r="Q38">
        <v>7.1979434447300816</v>
      </c>
      <c r="T38">
        <v>2.9139072847682135</v>
      </c>
      <c r="U38">
        <v>0.53667953667953672</v>
      </c>
      <c r="W38">
        <v>3.473945409429291</v>
      </c>
      <c r="X38">
        <v>7.1979434447300816</v>
      </c>
      <c r="AA38">
        <v>0.53667953667953672</v>
      </c>
      <c r="AC38">
        <v>4.1627378388303882</v>
      </c>
      <c r="AD38" t="str">
        <f>tbl_mart[[#This Row],[boligtype_code]]&amp;"|"&amp;tbl_mart[[#This Row],[quarter]]</f>
        <v>0|2001Q1</v>
      </c>
      <c r="AE38" s="9">
        <f>INT(YEAR(tbl_mart[[#This Row],[quarter_start]])/10)*10</f>
        <v>2000</v>
      </c>
    </row>
    <row r="39" spans="1:31" x14ac:dyDescent="0.2">
      <c r="A39">
        <v>0</v>
      </c>
      <c r="B39" t="s">
        <v>67</v>
      </c>
      <c r="C39" s="1">
        <v>36982</v>
      </c>
      <c r="D39">
        <v>43.5</v>
      </c>
      <c r="F39">
        <v>77.7</v>
      </c>
      <c r="G39" t="s">
        <v>30</v>
      </c>
      <c r="H39">
        <v>9</v>
      </c>
      <c r="I39">
        <v>9</v>
      </c>
      <c r="J39">
        <v>9</v>
      </c>
      <c r="K39">
        <v>9</v>
      </c>
      <c r="L39">
        <v>58</v>
      </c>
      <c r="P39">
        <v>4.3165467625899234</v>
      </c>
      <c r="Q39">
        <v>4.8192771084337283</v>
      </c>
      <c r="T39">
        <v>2.9139072847682135</v>
      </c>
      <c r="U39">
        <v>0.55984555984555984</v>
      </c>
      <c r="W39">
        <v>4.3165467625899234</v>
      </c>
      <c r="X39">
        <v>4.8192771084337283</v>
      </c>
      <c r="AA39">
        <v>0.55984555984555984</v>
      </c>
      <c r="AC39">
        <v>1.8514211285295623</v>
      </c>
      <c r="AD39" t="str">
        <f>tbl_mart[[#This Row],[boligtype_code]]&amp;"|"&amp;tbl_mart[[#This Row],[quarter]]</f>
        <v>0|2001Q2</v>
      </c>
      <c r="AE39" s="9">
        <f>INT(YEAR(tbl_mart[[#This Row],[quarter_start]])/10)*10</f>
        <v>2000</v>
      </c>
    </row>
    <row r="40" spans="1:31" x14ac:dyDescent="0.2">
      <c r="A40">
        <v>0</v>
      </c>
      <c r="B40" t="s">
        <v>68</v>
      </c>
      <c r="C40" s="1">
        <v>37073</v>
      </c>
      <c r="D40">
        <v>43.5</v>
      </c>
      <c r="F40">
        <v>77.7</v>
      </c>
      <c r="G40" t="s">
        <v>30</v>
      </c>
      <c r="H40">
        <v>9</v>
      </c>
      <c r="I40">
        <v>9</v>
      </c>
      <c r="J40">
        <v>9</v>
      </c>
      <c r="K40">
        <v>9</v>
      </c>
      <c r="L40">
        <v>65</v>
      </c>
      <c r="P40">
        <v>0</v>
      </c>
      <c r="Q40">
        <v>7.9404466501240778</v>
      </c>
      <c r="T40">
        <v>2.9139072847682135</v>
      </c>
      <c r="U40">
        <v>0.55984555984555984</v>
      </c>
      <c r="W40">
        <v>0</v>
      </c>
      <c r="X40">
        <v>7.9404466501240778</v>
      </c>
      <c r="AA40">
        <v>0.55984555984555984</v>
      </c>
      <c r="AC40">
        <v>4.8842177874435899</v>
      </c>
      <c r="AD40" t="str">
        <f>tbl_mart[[#This Row],[boligtype_code]]&amp;"|"&amp;tbl_mart[[#This Row],[quarter]]</f>
        <v>0|2001Q3</v>
      </c>
      <c r="AE40" s="9">
        <f>INT(YEAR(tbl_mart[[#This Row],[quarter_start]])/10)*10</f>
        <v>2000</v>
      </c>
    </row>
    <row r="41" spans="1:31" x14ac:dyDescent="0.2">
      <c r="A41">
        <v>0</v>
      </c>
      <c r="B41" t="s">
        <v>69</v>
      </c>
      <c r="C41" s="1">
        <v>37165</v>
      </c>
      <c r="D41">
        <v>43.4</v>
      </c>
      <c r="F41">
        <v>77.7</v>
      </c>
      <c r="G41" t="s">
        <v>30</v>
      </c>
      <c r="H41">
        <v>8.9140625</v>
      </c>
      <c r="I41">
        <v>8.5</v>
      </c>
      <c r="J41">
        <v>8.5</v>
      </c>
      <c r="K41">
        <v>9</v>
      </c>
      <c r="L41">
        <v>64</v>
      </c>
      <c r="M41">
        <v>1</v>
      </c>
      <c r="N41">
        <v>-0.5</v>
      </c>
      <c r="O41">
        <v>0.5</v>
      </c>
      <c r="P41">
        <v>-0.22988505747126853</v>
      </c>
      <c r="Q41">
        <v>7.6923076923076872</v>
      </c>
      <c r="T41">
        <v>2.9139072847682135</v>
      </c>
      <c r="U41">
        <v>0.55855855855855852</v>
      </c>
      <c r="W41">
        <v>-0.22988505747126853</v>
      </c>
      <c r="X41">
        <v>7.6923076923076872</v>
      </c>
      <c r="AA41">
        <v>0.55855855855855852</v>
      </c>
      <c r="AC41">
        <v>4.6431046431046452</v>
      </c>
      <c r="AD41" t="str">
        <f>tbl_mart[[#This Row],[boligtype_code]]&amp;"|"&amp;tbl_mart[[#This Row],[quarter]]</f>
        <v>0|2001Q4</v>
      </c>
      <c r="AE41" s="9">
        <f>INT(YEAR(tbl_mart[[#This Row],[quarter_start]])/10)*10</f>
        <v>2000</v>
      </c>
    </row>
    <row r="42" spans="1:31" x14ac:dyDescent="0.2">
      <c r="A42">
        <v>0</v>
      </c>
      <c r="B42" t="s">
        <v>70</v>
      </c>
      <c r="C42" s="1">
        <v>37257</v>
      </c>
      <c r="D42">
        <v>44.8</v>
      </c>
      <c r="F42">
        <v>78.7</v>
      </c>
      <c r="G42" t="s">
        <v>30</v>
      </c>
      <c r="H42">
        <v>8.5</v>
      </c>
      <c r="I42">
        <v>8.5</v>
      </c>
      <c r="J42">
        <v>8.5</v>
      </c>
      <c r="K42">
        <v>8.5</v>
      </c>
      <c r="L42">
        <v>61</v>
      </c>
      <c r="P42">
        <v>3.2258064516129004</v>
      </c>
      <c r="Q42">
        <v>7.434052757793741</v>
      </c>
      <c r="T42">
        <v>1.287001287001277</v>
      </c>
      <c r="U42">
        <v>0.56925031766200762</v>
      </c>
      <c r="W42">
        <v>3.2258064516129004</v>
      </c>
      <c r="X42">
        <v>7.434052757793741</v>
      </c>
      <c r="AA42">
        <v>0.56925031766200762</v>
      </c>
      <c r="AC42">
        <v>6.0689440823453067</v>
      </c>
      <c r="AD42" t="str">
        <f>tbl_mart[[#This Row],[boligtype_code]]&amp;"|"&amp;tbl_mart[[#This Row],[quarter]]</f>
        <v>0|2002Q1</v>
      </c>
      <c r="AE42" s="9">
        <f>INT(YEAR(tbl_mart[[#This Row],[quarter_start]])/10)*10</f>
        <v>2000</v>
      </c>
    </row>
    <row r="43" spans="1:31" x14ac:dyDescent="0.2">
      <c r="A43">
        <v>0</v>
      </c>
      <c r="B43" t="s">
        <v>71</v>
      </c>
      <c r="C43" s="1">
        <v>37347</v>
      </c>
      <c r="D43">
        <v>46.4</v>
      </c>
      <c r="F43">
        <v>78.7</v>
      </c>
      <c r="G43" t="s">
        <v>30</v>
      </c>
      <c r="H43">
        <v>8.5</v>
      </c>
      <c r="I43">
        <v>8.5</v>
      </c>
      <c r="J43">
        <v>8.5</v>
      </c>
      <c r="K43">
        <v>8.5</v>
      </c>
      <c r="L43">
        <v>60</v>
      </c>
      <c r="P43">
        <v>3.5714285714285809</v>
      </c>
      <c r="Q43">
        <v>6.6666666666666652</v>
      </c>
      <c r="T43">
        <v>1.287001287001277</v>
      </c>
      <c r="U43">
        <v>0.58958068614993642</v>
      </c>
      <c r="W43">
        <v>3.5714285714285809</v>
      </c>
      <c r="X43">
        <v>6.6666666666666652</v>
      </c>
      <c r="AA43">
        <v>0.58958068614993642</v>
      </c>
      <c r="AC43">
        <v>5.3113087674714121</v>
      </c>
      <c r="AD43" t="str">
        <f>tbl_mart[[#This Row],[boligtype_code]]&amp;"|"&amp;tbl_mart[[#This Row],[quarter]]</f>
        <v>0|2002Q2</v>
      </c>
      <c r="AE43" s="9">
        <f>INT(YEAR(tbl_mart[[#This Row],[quarter_start]])/10)*10</f>
        <v>2000</v>
      </c>
    </row>
    <row r="44" spans="1:31" x14ac:dyDescent="0.2">
      <c r="A44">
        <v>0</v>
      </c>
      <c r="B44" t="s">
        <v>72</v>
      </c>
      <c r="C44" s="1">
        <v>37438</v>
      </c>
      <c r="D44">
        <v>44.9</v>
      </c>
      <c r="F44">
        <v>78.7</v>
      </c>
      <c r="G44" t="s">
        <v>30</v>
      </c>
      <c r="H44">
        <v>8.9772727272727266</v>
      </c>
      <c r="I44">
        <v>9</v>
      </c>
      <c r="J44">
        <v>8.5</v>
      </c>
      <c r="K44">
        <v>9</v>
      </c>
      <c r="L44">
        <v>66</v>
      </c>
      <c r="M44">
        <v>1</v>
      </c>
      <c r="N44">
        <v>0.5</v>
      </c>
      <c r="O44">
        <v>0.5</v>
      </c>
      <c r="P44">
        <v>-3.2327586206896575</v>
      </c>
      <c r="Q44">
        <v>3.2183908045976928</v>
      </c>
      <c r="T44">
        <v>1.287001287001277</v>
      </c>
      <c r="U44">
        <v>0.5705209656925031</v>
      </c>
      <c r="W44">
        <v>-3.2327586206896575</v>
      </c>
      <c r="X44">
        <v>3.2183908045976928</v>
      </c>
      <c r="AA44">
        <v>0.5705209656925031</v>
      </c>
      <c r="AC44">
        <v>1.9068483547298731</v>
      </c>
      <c r="AD44" t="str">
        <f>tbl_mart[[#This Row],[boligtype_code]]&amp;"|"&amp;tbl_mart[[#This Row],[quarter]]</f>
        <v>0|2002Q3</v>
      </c>
      <c r="AE44" s="9">
        <f>INT(YEAR(tbl_mart[[#This Row],[quarter_start]])/10)*10</f>
        <v>2000</v>
      </c>
    </row>
    <row r="45" spans="1:31" x14ac:dyDescent="0.2">
      <c r="A45">
        <v>0</v>
      </c>
      <c r="B45" t="s">
        <v>73</v>
      </c>
      <c r="C45" s="1">
        <v>37530</v>
      </c>
      <c r="D45">
        <v>44.6</v>
      </c>
      <c r="F45">
        <v>78.7</v>
      </c>
      <c r="G45" t="s">
        <v>30</v>
      </c>
      <c r="H45">
        <v>8.90625</v>
      </c>
      <c r="I45">
        <v>8.5</v>
      </c>
      <c r="J45">
        <v>8.5</v>
      </c>
      <c r="K45">
        <v>9</v>
      </c>
      <c r="L45">
        <v>64</v>
      </c>
      <c r="M45">
        <v>1</v>
      </c>
      <c r="N45">
        <v>-0.5</v>
      </c>
      <c r="O45">
        <v>0.5</v>
      </c>
      <c r="P45">
        <v>-0.66815144766146917</v>
      </c>
      <c r="Q45">
        <v>2.7649769585253559</v>
      </c>
      <c r="T45">
        <v>1.287001287001277</v>
      </c>
      <c r="U45">
        <v>0.56670902160101655</v>
      </c>
      <c r="W45">
        <v>-0.66815144766146917</v>
      </c>
      <c r="X45">
        <v>2.7649769585253559</v>
      </c>
      <c r="AA45">
        <v>0.56670902160101655</v>
      </c>
      <c r="AC45">
        <v>1.4591958027626584</v>
      </c>
      <c r="AD45" t="str">
        <f>tbl_mart[[#This Row],[boligtype_code]]&amp;"|"&amp;tbl_mart[[#This Row],[quarter]]</f>
        <v>0|2002Q4</v>
      </c>
      <c r="AE45" s="9">
        <f>INT(YEAR(tbl_mart[[#This Row],[quarter_start]])/10)*10</f>
        <v>2000</v>
      </c>
    </row>
    <row r="46" spans="1:31" x14ac:dyDescent="0.2">
      <c r="A46">
        <v>0</v>
      </c>
      <c r="B46" t="s">
        <v>74</v>
      </c>
      <c r="C46" s="1">
        <v>37622</v>
      </c>
      <c r="D46">
        <v>45.6</v>
      </c>
      <c r="F46">
        <v>80.7</v>
      </c>
      <c r="G46" t="s">
        <v>30</v>
      </c>
      <c r="H46">
        <v>7.9761904761904763</v>
      </c>
      <c r="I46">
        <v>7.5</v>
      </c>
      <c r="J46">
        <v>7.5</v>
      </c>
      <c r="K46">
        <v>8.5</v>
      </c>
      <c r="L46">
        <v>63</v>
      </c>
      <c r="M46">
        <v>2</v>
      </c>
      <c r="N46">
        <v>-1</v>
      </c>
      <c r="O46">
        <v>1</v>
      </c>
      <c r="P46">
        <v>2.2421524663677195</v>
      </c>
      <c r="Q46">
        <v>1.7857142857143016</v>
      </c>
      <c r="T46">
        <v>2.5412960609911162</v>
      </c>
      <c r="U46">
        <v>0.56505576208178443</v>
      </c>
      <c r="W46">
        <v>2.2421524663677195</v>
      </c>
      <c r="X46">
        <v>1.7857142857143016</v>
      </c>
      <c r="AA46">
        <v>0.56505576208178443</v>
      </c>
      <c r="AC46">
        <v>-0.73685608072224795</v>
      </c>
      <c r="AD46" t="str">
        <f>tbl_mart[[#This Row],[boligtype_code]]&amp;"|"&amp;tbl_mart[[#This Row],[quarter]]</f>
        <v>0|2003Q1</v>
      </c>
      <c r="AE46" s="9">
        <f>INT(YEAR(tbl_mart[[#This Row],[quarter_start]])/10)*10</f>
        <v>2000</v>
      </c>
    </row>
    <row r="47" spans="1:31" x14ac:dyDescent="0.2">
      <c r="A47">
        <v>0</v>
      </c>
      <c r="B47" t="s">
        <v>75</v>
      </c>
      <c r="C47" s="1">
        <v>37712</v>
      </c>
      <c r="D47">
        <v>45.9</v>
      </c>
      <c r="F47">
        <v>80.7</v>
      </c>
      <c r="G47" t="s">
        <v>30</v>
      </c>
      <c r="H47">
        <v>7.0964912280701755</v>
      </c>
      <c r="I47">
        <v>6</v>
      </c>
      <c r="J47">
        <v>6</v>
      </c>
      <c r="K47">
        <v>7.5</v>
      </c>
      <c r="L47">
        <v>57</v>
      </c>
      <c r="M47">
        <v>2</v>
      </c>
      <c r="N47">
        <v>-1.5</v>
      </c>
      <c r="O47">
        <v>1.5</v>
      </c>
      <c r="P47">
        <v>0.65789473684210176</v>
      </c>
      <c r="Q47">
        <v>-1.0775862068965525</v>
      </c>
      <c r="T47">
        <v>2.5412960609911162</v>
      </c>
      <c r="U47">
        <v>0.56877323420074344</v>
      </c>
      <c r="W47">
        <v>0.65789473684210176</v>
      </c>
      <c r="X47">
        <v>-1.0775862068965525</v>
      </c>
      <c r="AA47">
        <v>0.56877323420074344</v>
      </c>
      <c r="AC47">
        <v>-3.5291949750032026</v>
      </c>
      <c r="AD47" t="str">
        <f>tbl_mart[[#This Row],[boligtype_code]]&amp;"|"&amp;tbl_mart[[#This Row],[quarter]]</f>
        <v>0|2003Q2</v>
      </c>
      <c r="AE47" s="9">
        <f>INT(YEAR(tbl_mart[[#This Row],[quarter_start]])/10)*10</f>
        <v>2000</v>
      </c>
    </row>
    <row r="48" spans="1:31" x14ac:dyDescent="0.2">
      <c r="A48">
        <v>0</v>
      </c>
      <c r="B48" t="s">
        <v>76</v>
      </c>
      <c r="C48" s="1">
        <v>37803</v>
      </c>
      <c r="D48">
        <v>45.8</v>
      </c>
      <c r="F48">
        <v>80.7</v>
      </c>
      <c r="G48" t="s">
        <v>30</v>
      </c>
      <c r="H48">
        <v>5.4015151515151514</v>
      </c>
      <c r="I48">
        <v>4.5</v>
      </c>
      <c r="J48">
        <v>4.5</v>
      </c>
      <c r="K48">
        <v>6</v>
      </c>
      <c r="L48">
        <v>66</v>
      </c>
      <c r="M48">
        <v>2</v>
      </c>
      <c r="N48">
        <v>-1.5</v>
      </c>
      <c r="O48">
        <v>1.5</v>
      </c>
      <c r="P48">
        <v>-0.21786492374727962</v>
      </c>
      <c r="Q48">
        <v>2.0044543429843964</v>
      </c>
      <c r="T48">
        <v>2.5412960609911162</v>
      </c>
      <c r="U48">
        <v>0.56753407682775703</v>
      </c>
      <c r="W48">
        <v>-0.21786492374727962</v>
      </c>
      <c r="X48">
        <v>2.0044543429843964</v>
      </c>
      <c r="AA48">
        <v>0.56753407682775703</v>
      </c>
      <c r="AC48">
        <v>-0.52353709054681064</v>
      </c>
      <c r="AD48" t="str">
        <f>tbl_mart[[#This Row],[boligtype_code]]&amp;"|"&amp;tbl_mart[[#This Row],[quarter]]</f>
        <v>0|2003Q3</v>
      </c>
      <c r="AE48" s="9">
        <f>INT(YEAR(tbl_mart[[#This Row],[quarter_start]])/10)*10</f>
        <v>2000</v>
      </c>
    </row>
    <row r="49" spans="1:31" x14ac:dyDescent="0.2">
      <c r="A49">
        <v>0</v>
      </c>
      <c r="B49" t="s">
        <v>77</v>
      </c>
      <c r="C49" s="1">
        <v>37895</v>
      </c>
      <c r="D49">
        <v>46.4</v>
      </c>
      <c r="F49">
        <v>80.7</v>
      </c>
      <c r="G49" t="s">
        <v>30</v>
      </c>
      <c r="H49">
        <v>4.475806451612903</v>
      </c>
      <c r="I49">
        <v>4.25</v>
      </c>
      <c r="J49">
        <v>4.25</v>
      </c>
      <c r="K49">
        <v>4.5</v>
      </c>
      <c r="L49">
        <v>62</v>
      </c>
      <c r="M49">
        <v>1</v>
      </c>
      <c r="N49">
        <v>-0.25</v>
      </c>
      <c r="O49">
        <v>0.25</v>
      </c>
      <c r="P49">
        <v>1.3100436681222849</v>
      </c>
      <c r="Q49">
        <v>4.0358744394618729</v>
      </c>
      <c r="T49">
        <v>2.5412960609911162</v>
      </c>
      <c r="U49">
        <v>0.57496902106567527</v>
      </c>
      <c r="W49">
        <v>1.3100436681222849</v>
      </c>
      <c r="X49">
        <v>4.0358744394618729</v>
      </c>
      <c r="AA49">
        <v>0.57496902106567527</v>
      </c>
      <c r="AC49">
        <v>1.4575380221270029</v>
      </c>
      <c r="AD49" t="str">
        <f>tbl_mart[[#This Row],[boligtype_code]]&amp;"|"&amp;tbl_mart[[#This Row],[quarter]]</f>
        <v>0|2003Q4</v>
      </c>
      <c r="AE49" s="9">
        <f>INT(YEAR(tbl_mart[[#This Row],[quarter_start]])/10)*10</f>
        <v>2000</v>
      </c>
    </row>
    <row r="50" spans="1:31" x14ac:dyDescent="0.2">
      <c r="A50">
        <v>0</v>
      </c>
      <c r="B50" t="s">
        <v>78</v>
      </c>
      <c r="C50" s="1">
        <v>37987</v>
      </c>
      <c r="D50">
        <v>49.8</v>
      </c>
      <c r="F50">
        <v>81</v>
      </c>
      <c r="G50" t="s">
        <v>30</v>
      </c>
      <c r="H50">
        <v>4.01953125</v>
      </c>
      <c r="I50">
        <v>3.75</v>
      </c>
      <c r="J50">
        <v>3.75</v>
      </c>
      <c r="K50">
        <v>4.25</v>
      </c>
      <c r="L50">
        <v>64</v>
      </c>
      <c r="M50">
        <v>2</v>
      </c>
      <c r="N50">
        <v>-0.5</v>
      </c>
      <c r="O50">
        <v>0.5</v>
      </c>
      <c r="P50">
        <v>7.3275862068965525</v>
      </c>
      <c r="Q50">
        <v>9.210526315789469</v>
      </c>
      <c r="T50">
        <v>0.37174721189590088</v>
      </c>
      <c r="U50">
        <v>0.61481481481481481</v>
      </c>
      <c r="W50">
        <v>7.3275862068965525</v>
      </c>
      <c r="X50">
        <v>9.210526315789469</v>
      </c>
      <c r="AA50">
        <v>0.61481481481481481</v>
      </c>
      <c r="AC50">
        <v>8.8060428849902515</v>
      </c>
      <c r="AD50" t="str">
        <f>tbl_mart[[#This Row],[boligtype_code]]&amp;"|"&amp;tbl_mart[[#This Row],[quarter]]</f>
        <v>0|2004Q1</v>
      </c>
      <c r="AE50" s="9">
        <f>INT(YEAR(tbl_mart[[#This Row],[quarter_start]])/10)*10</f>
        <v>2000</v>
      </c>
    </row>
    <row r="51" spans="1:31" x14ac:dyDescent="0.2">
      <c r="A51">
        <v>0</v>
      </c>
      <c r="B51" t="s">
        <v>79</v>
      </c>
      <c r="C51" s="1">
        <v>38078</v>
      </c>
      <c r="D51">
        <v>50.6</v>
      </c>
      <c r="F51">
        <v>81</v>
      </c>
      <c r="G51" t="s">
        <v>30</v>
      </c>
      <c r="H51">
        <v>3.75</v>
      </c>
      <c r="I51">
        <v>3.75</v>
      </c>
      <c r="J51">
        <v>3.75</v>
      </c>
      <c r="K51">
        <v>3.75</v>
      </c>
      <c r="L51">
        <v>59</v>
      </c>
      <c r="P51">
        <v>1.6064257028112428</v>
      </c>
      <c r="Q51">
        <v>10.239651416122019</v>
      </c>
      <c r="T51">
        <v>0.37174721189590088</v>
      </c>
      <c r="U51">
        <v>0.62469135802469133</v>
      </c>
      <c r="W51">
        <v>1.6064257028112428</v>
      </c>
      <c r="X51">
        <v>10.239651416122019</v>
      </c>
      <c r="AA51">
        <v>0.62469135802469133</v>
      </c>
      <c r="AC51">
        <v>9.8313564108771132</v>
      </c>
      <c r="AD51" t="str">
        <f>tbl_mart[[#This Row],[boligtype_code]]&amp;"|"&amp;tbl_mart[[#This Row],[quarter]]</f>
        <v>0|2004Q2</v>
      </c>
      <c r="AE51" s="9">
        <f>INT(YEAR(tbl_mart[[#This Row],[quarter_start]])/10)*10</f>
        <v>2000</v>
      </c>
    </row>
    <row r="52" spans="1:31" x14ac:dyDescent="0.2">
      <c r="A52">
        <v>0</v>
      </c>
      <c r="B52" t="s">
        <v>80</v>
      </c>
      <c r="C52" s="1">
        <v>38169</v>
      </c>
      <c r="D52">
        <v>50.7</v>
      </c>
      <c r="F52">
        <v>81</v>
      </c>
      <c r="G52" t="s">
        <v>30</v>
      </c>
      <c r="H52">
        <v>3.75</v>
      </c>
      <c r="I52">
        <v>3.75</v>
      </c>
      <c r="J52">
        <v>3.75</v>
      </c>
      <c r="K52">
        <v>3.75</v>
      </c>
      <c r="L52">
        <v>66</v>
      </c>
      <c r="P52">
        <v>0.19762845849802257</v>
      </c>
      <c r="Q52">
        <v>10.698689956331897</v>
      </c>
      <c r="T52">
        <v>0.37174721189590088</v>
      </c>
      <c r="U52">
        <v>0.625925925925926</v>
      </c>
      <c r="W52">
        <v>0.19762845849802257</v>
      </c>
      <c r="X52">
        <v>10.698689956331897</v>
      </c>
      <c r="AA52">
        <v>0.625925925925926</v>
      </c>
      <c r="AC52">
        <v>10.28869480834549</v>
      </c>
      <c r="AD52" t="str">
        <f>tbl_mart[[#This Row],[boligtype_code]]&amp;"|"&amp;tbl_mart[[#This Row],[quarter]]</f>
        <v>0|2004Q3</v>
      </c>
      <c r="AE52" s="9">
        <f>INT(YEAR(tbl_mart[[#This Row],[quarter_start]])/10)*10</f>
        <v>2000</v>
      </c>
    </row>
    <row r="53" spans="1:31" x14ac:dyDescent="0.2">
      <c r="A53">
        <v>0</v>
      </c>
      <c r="B53" t="s">
        <v>81</v>
      </c>
      <c r="C53" s="1">
        <v>38261</v>
      </c>
      <c r="D53">
        <v>51.3</v>
      </c>
      <c r="F53">
        <v>81</v>
      </c>
      <c r="G53" t="s">
        <v>30</v>
      </c>
      <c r="H53">
        <v>3.75</v>
      </c>
      <c r="I53">
        <v>3.75</v>
      </c>
      <c r="J53">
        <v>3.75</v>
      </c>
      <c r="K53">
        <v>3.75</v>
      </c>
      <c r="L53">
        <v>64</v>
      </c>
      <c r="P53">
        <v>1.1834319526627057</v>
      </c>
      <c r="Q53">
        <v>10.56034482758621</v>
      </c>
      <c r="T53">
        <v>0.37174721189590088</v>
      </c>
      <c r="U53">
        <v>0.6333333333333333</v>
      </c>
      <c r="W53">
        <v>1.1834319526627057</v>
      </c>
      <c r="X53">
        <v>10.56034482758621</v>
      </c>
      <c r="AA53">
        <v>0.6333333333333333</v>
      </c>
      <c r="AC53">
        <v>10.150862068965516</v>
      </c>
      <c r="AD53" t="str">
        <f>tbl_mart[[#This Row],[boligtype_code]]&amp;"|"&amp;tbl_mart[[#This Row],[quarter]]</f>
        <v>0|2004Q4</v>
      </c>
      <c r="AE53" s="9">
        <f>INT(YEAR(tbl_mart[[#This Row],[quarter_start]])/10)*10</f>
        <v>2000</v>
      </c>
    </row>
    <row r="54" spans="1:31" x14ac:dyDescent="0.2">
      <c r="A54">
        <v>0</v>
      </c>
      <c r="B54" t="s">
        <v>82</v>
      </c>
      <c r="C54" s="1">
        <v>38353</v>
      </c>
      <c r="D54">
        <v>53.4</v>
      </c>
      <c r="E54">
        <v>53.2</v>
      </c>
      <c r="F54">
        <v>82.3</v>
      </c>
      <c r="G54" t="s">
        <v>30</v>
      </c>
      <c r="H54">
        <v>3.75</v>
      </c>
      <c r="I54">
        <v>3.75</v>
      </c>
      <c r="J54">
        <v>3.75</v>
      </c>
      <c r="K54">
        <v>3.75</v>
      </c>
      <c r="L54">
        <v>61</v>
      </c>
      <c r="P54">
        <v>4.0935672514619936</v>
      </c>
      <c r="Q54">
        <v>7.2289156626506035</v>
      </c>
      <c r="T54">
        <v>1.6049382716049276</v>
      </c>
      <c r="U54">
        <v>0.6488456865127582</v>
      </c>
      <c r="V54">
        <v>0.64641555285540708</v>
      </c>
      <c r="W54">
        <v>4.0935672514619936</v>
      </c>
      <c r="X54">
        <v>7.2289156626506035</v>
      </c>
      <c r="AA54">
        <v>0.6488456865127582</v>
      </c>
      <c r="AB54">
        <v>0.64641555285540708</v>
      </c>
      <c r="AC54">
        <v>5.5351417821956073</v>
      </c>
      <c r="AD54" t="str">
        <f>tbl_mart[[#This Row],[boligtype_code]]&amp;"|"&amp;tbl_mart[[#This Row],[quarter]]</f>
        <v>0|2005Q1</v>
      </c>
      <c r="AE54" s="9">
        <f>INT(YEAR(tbl_mart[[#This Row],[quarter_start]])/10)*10</f>
        <v>2000</v>
      </c>
    </row>
    <row r="55" spans="1:31" x14ac:dyDescent="0.2">
      <c r="A55">
        <v>0</v>
      </c>
      <c r="B55" t="s">
        <v>83</v>
      </c>
      <c r="C55" s="1">
        <v>38443</v>
      </c>
      <c r="D55">
        <v>54.9</v>
      </c>
      <c r="E55">
        <v>54</v>
      </c>
      <c r="F55">
        <v>82.3</v>
      </c>
      <c r="G55" t="s">
        <v>30</v>
      </c>
      <c r="H55">
        <v>3.75</v>
      </c>
      <c r="I55">
        <v>3.75</v>
      </c>
      <c r="J55">
        <v>3.75</v>
      </c>
      <c r="K55">
        <v>3.75</v>
      </c>
      <c r="L55">
        <v>62</v>
      </c>
      <c r="P55">
        <v>2.8089887640449396</v>
      </c>
      <c r="Q55">
        <v>8.498023715415016</v>
      </c>
      <c r="R55">
        <v>1.5037593984962294</v>
      </c>
      <c r="T55">
        <v>1.6049382716049276</v>
      </c>
      <c r="U55">
        <v>0.66707168894289182</v>
      </c>
      <c r="V55">
        <v>0.65613608748481167</v>
      </c>
      <c r="W55">
        <v>2.8089887640449396</v>
      </c>
      <c r="X55">
        <v>8.498023715415016</v>
      </c>
      <c r="Y55">
        <v>1.5037593984962294</v>
      </c>
      <c r="AA55">
        <v>0.66707168894289182</v>
      </c>
      <c r="AB55">
        <v>0.65613608748481167</v>
      </c>
      <c r="AC55">
        <v>6.7842031707000761</v>
      </c>
      <c r="AD55" t="str">
        <f>tbl_mart[[#This Row],[boligtype_code]]&amp;"|"&amp;tbl_mart[[#This Row],[quarter]]</f>
        <v>0|2005Q2</v>
      </c>
      <c r="AE55" s="9">
        <f>INT(YEAR(tbl_mart[[#This Row],[quarter_start]])/10)*10</f>
        <v>2000</v>
      </c>
    </row>
    <row r="56" spans="1:31" x14ac:dyDescent="0.2">
      <c r="A56">
        <v>0</v>
      </c>
      <c r="B56" t="s">
        <v>84</v>
      </c>
      <c r="C56" s="1">
        <v>38534</v>
      </c>
      <c r="D56">
        <v>55.4</v>
      </c>
      <c r="E56">
        <v>55.2</v>
      </c>
      <c r="F56">
        <v>82.3</v>
      </c>
      <c r="G56" t="s">
        <v>30</v>
      </c>
      <c r="H56">
        <v>4</v>
      </c>
      <c r="I56">
        <v>4</v>
      </c>
      <c r="J56">
        <v>4</v>
      </c>
      <c r="K56">
        <v>4</v>
      </c>
      <c r="L56">
        <v>66</v>
      </c>
      <c r="M56">
        <v>1</v>
      </c>
      <c r="N56">
        <v>0.25</v>
      </c>
      <c r="O56">
        <v>0.25</v>
      </c>
      <c r="P56">
        <v>0.91074681238616506</v>
      </c>
      <c r="Q56">
        <v>9.2702169625246356</v>
      </c>
      <c r="R56">
        <v>2.2222222222222365</v>
      </c>
      <c r="T56">
        <v>1.6049382716049276</v>
      </c>
      <c r="U56">
        <v>0.67314702308626972</v>
      </c>
      <c r="V56">
        <v>0.67071688942891861</v>
      </c>
      <c r="W56">
        <v>0.91074681238616506</v>
      </c>
      <c r="X56">
        <v>9.2702169625246356</v>
      </c>
      <c r="Y56">
        <v>2.2222222222222365</v>
      </c>
      <c r="AA56">
        <v>0.67314702308626972</v>
      </c>
      <c r="AB56">
        <v>0.67071688942891861</v>
      </c>
      <c r="AC56">
        <v>7.5441989546111365</v>
      </c>
      <c r="AD56" t="str">
        <f>tbl_mart[[#This Row],[boligtype_code]]&amp;"|"&amp;tbl_mart[[#This Row],[quarter]]</f>
        <v>0|2005Q3</v>
      </c>
      <c r="AE56" s="9">
        <f>INT(YEAR(tbl_mart[[#This Row],[quarter_start]])/10)*10</f>
        <v>2000</v>
      </c>
    </row>
    <row r="57" spans="1:31" x14ac:dyDescent="0.2">
      <c r="A57">
        <v>0</v>
      </c>
      <c r="B57" t="s">
        <v>85</v>
      </c>
      <c r="C57" s="1">
        <v>38626</v>
      </c>
      <c r="D57">
        <v>55.4</v>
      </c>
      <c r="E57">
        <v>56.8</v>
      </c>
      <c r="F57">
        <v>82.3</v>
      </c>
      <c r="G57" t="s">
        <v>30</v>
      </c>
      <c r="H57">
        <v>4.16015625</v>
      </c>
      <c r="I57">
        <v>4.25</v>
      </c>
      <c r="J57">
        <v>4</v>
      </c>
      <c r="K57">
        <v>4.25</v>
      </c>
      <c r="L57">
        <v>64</v>
      </c>
      <c r="M57">
        <v>1</v>
      </c>
      <c r="N57">
        <v>0.25</v>
      </c>
      <c r="O57">
        <v>0.25</v>
      </c>
      <c r="P57">
        <v>0</v>
      </c>
      <c r="Q57">
        <v>7.9922027290448394</v>
      </c>
      <c r="R57">
        <v>2.8985507246376718</v>
      </c>
      <c r="T57">
        <v>1.6049382716049276</v>
      </c>
      <c r="U57">
        <v>0.67314702308626972</v>
      </c>
      <c r="V57">
        <v>0.69015795868772778</v>
      </c>
      <c r="W57">
        <v>0</v>
      </c>
      <c r="X57">
        <v>7.9922027290448394</v>
      </c>
      <c r="Y57">
        <v>2.8985507246376718</v>
      </c>
      <c r="AA57">
        <v>0.67314702308626972</v>
      </c>
      <c r="AB57">
        <v>0.69015795868772778</v>
      </c>
      <c r="AC57">
        <v>6.2863720662531097</v>
      </c>
      <c r="AD57" t="str">
        <f>tbl_mart[[#This Row],[boligtype_code]]&amp;"|"&amp;tbl_mart[[#This Row],[quarter]]</f>
        <v>0|2005Q4</v>
      </c>
      <c r="AE57" s="9">
        <f>INT(YEAR(tbl_mart[[#This Row],[quarter_start]])/10)*10</f>
        <v>2000</v>
      </c>
    </row>
    <row r="58" spans="1:31" x14ac:dyDescent="0.2">
      <c r="A58">
        <v>0</v>
      </c>
      <c r="B58" t="s">
        <v>86</v>
      </c>
      <c r="C58" s="1">
        <v>38718</v>
      </c>
      <c r="D58">
        <v>58.9</v>
      </c>
      <c r="E58">
        <v>58.7</v>
      </c>
      <c r="F58">
        <v>84.2</v>
      </c>
      <c r="G58" t="s">
        <v>30</v>
      </c>
      <c r="H58">
        <v>4.2923076923076922</v>
      </c>
      <c r="I58">
        <v>4.5</v>
      </c>
      <c r="J58">
        <v>4.25</v>
      </c>
      <c r="K58">
        <v>4.5</v>
      </c>
      <c r="L58">
        <v>65</v>
      </c>
      <c r="M58">
        <v>1</v>
      </c>
      <c r="N58">
        <v>0.25</v>
      </c>
      <c r="O58">
        <v>0.25</v>
      </c>
      <c r="P58">
        <v>6.3176895306859215</v>
      </c>
      <c r="Q58">
        <v>10.299625468164786</v>
      </c>
      <c r="R58">
        <v>3.3450704225352235</v>
      </c>
      <c r="S58">
        <v>10.338345864661648</v>
      </c>
      <c r="T58">
        <v>2.3086269744835963</v>
      </c>
      <c r="U58">
        <v>0.6995249406175772</v>
      </c>
      <c r="V58">
        <v>0.69714964370546317</v>
      </c>
      <c r="W58">
        <v>6.3176895306859215</v>
      </c>
      <c r="X58">
        <v>10.299625468164786</v>
      </c>
      <c r="Y58">
        <v>3.3450704225352235</v>
      </c>
      <c r="Z58">
        <v>10.338345864661648</v>
      </c>
      <c r="AA58">
        <v>0.6995249406175772</v>
      </c>
      <c r="AB58">
        <v>0.69714964370546317</v>
      </c>
      <c r="AC58">
        <v>7.8106790502370904</v>
      </c>
      <c r="AD58" t="str">
        <f>tbl_mart[[#This Row],[boligtype_code]]&amp;"|"&amp;tbl_mart[[#This Row],[quarter]]</f>
        <v>0|2006Q1</v>
      </c>
      <c r="AE58" s="9">
        <f>INT(YEAR(tbl_mart[[#This Row],[quarter_start]])/10)*10</f>
        <v>2000</v>
      </c>
    </row>
    <row r="59" spans="1:31" x14ac:dyDescent="0.2">
      <c r="A59">
        <v>0</v>
      </c>
      <c r="B59" t="s">
        <v>87</v>
      </c>
      <c r="C59" s="1">
        <v>38808</v>
      </c>
      <c r="D59">
        <v>61.8</v>
      </c>
      <c r="E59">
        <v>60.7</v>
      </c>
      <c r="F59">
        <v>84.2</v>
      </c>
      <c r="G59" t="s">
        <v>30</v>
      </c>
      <c r="H59">
        <v>4.5905172413793105</v>
      </c>
      <c r="I59">
        <v>4.75</v>
      </c>
      <c r="J59">
        <v>4.5</v>
      </c>
      <c r="K59">
        <v>4.75</v>
      </c>
      <c r="L59">
        <v>58</v>
      </c>
      <c r="M59">
        <v>1</v>
      </c>
      <c r="N59">
        <v>0.25</v>
      </c>
      <c r="O59">
        <v>0.25</v>
      </c>
      <c r="P59">
        <v>4.9235993208828432</v>
      </c>
      <c r="Q59">
        <v>12.568306010928953</v>
      </c>
      <c r="R59">
        <v>3.4071550255536653</v>
      </c>
      <c r="S59">
        <v>12.407407407407423</v>
      </c>
      <c r="T59">
        <v>2.3086269744835963</v>
      </c>
      <c r="U59">
        <v>0.73396674584323029</v>
      </c>
      <c r="V59">
        <v>0.72090261282660328</v>
      </c>
      <c r="W59">
        <v>4.9235993208828432</v>
      </c>
      <c r="X59">
        <v>12.568306010928953</v>
      </c>
      <c r="Y59">
        <v>3.4071550255536653</v>
      </c>
      <c r="Z59">
        <v>12.407407407407423</v>
      </c>
      <c r="AA59">
        <v>0.73396674584323029</v>
      </c>
      <c r="AB59">
        <v>0.72090261282660328</v>
      </c>
      <c r="AC59">
        <v>10.028166089067136</v>
      </c>
      <c r="AD59" t="str">
        <f>tbl_mart[[#This Row],[boligtype_code]]&amp;"|"&amp;tbl_mart[[#This Row],[quarter]]</f>
        <v>0|2006Q2</v>
      </c>
      <c r="AE59" s="9">
        <f>INT(YEAR(tbl_mart[[#This Row],[quarter_start]])/10)*10</f>
        <v>2000</v>
      </c>
    </row>
    <row r="60" spans="1:31" x14ac:dyDescent="0.2">
      <c r="A60">
        <v>0</v>
      </c>
      <c r="B60" t="s">
        <v>88</v>
      </c>
      <c r="C60" s="1">
        <v>38899</v>
      </c>
      <c r="D60">
        <v>63.8</v>
      </c>
      <c r="E60">
        <v>63.6</v>
      </c>
      <c r="F60">
        <v>84.2</v>
      </c>
      <c r="G60" t="s">
        <v>30</v>
      </c>
      <c r="H60">
        <v>4.8730769230769226</v>
      </c>
      <c r="I60">
        <v>5</v>
      </c>
      <c r="J60">
        <v>4.75</v>
      </c>
      <c r="K60">
        <v>5</v>
      </c>
      <c r="L60">
        <v>65</v>
      </c>
      <c r="M60">
        <v>1</v>
      </c>
      <c r="N60">
        <v>0.25</v>
      </c>
      <c r="O60">
        <v>0.25</v>
      </c>
      <c r="P60">
        <v>3.2362459546925626</v>
      </c>
      <c r="Q60">
        <v>15.162454873646203</v>
      </c>
      <c r="R60">
        <v>4.7775947281713416</v>
      </c>
      <c r="S60">
        <v>15.217391304347828</v>
      </c>
      <c r="T60">
        <v>2.3086269744835963</v>
      </c>
      <c r="U60">
        <v>0.75771971496437052</v>
      </c>
      <c r="V60">
        <v>0.75534441805225649</v>
      </c>
      <c r="W60">
        <v>3.2362459546925626</v>
      </c>
      <c r="X60">
        <v>15.162454873646203</v>
      </c>
      <c r="Y60">
        <v>4.7775947281713416</v>
      </c>
      <c r="Z60">
        <v>15.217391304347828</v>
      </c>
      <c r="AA60">
        <v>0.75771971496437052</v>
      </c>
      <c r="AB60">
        <v>0.75534441805225649</v>
      </c>
      <c r="AC60">
        <v>12.563777150844224</v>
      </c>
      <c r="AD60" t="str">
        <f>tbl_mart[[#This Row],[boligtype_code]]&amp;"|"&amp;tbl_mart[[#This Row],[quarter]]</f>
        <v>0|2006Q3</v>
      </c>
      <c r="AE60" s="9">
        <f>INT(YEAR(tbl_mart[[#This Row],[quarter_start]])/10)*10</f>
        <v>2000</v>
      </c>
    </row>
    <row r="61" spans="1:31" x14ac:dyDescent="0.2">
      <c r="A61">
        <v>0</v>
      </c>
      <c r="B61" t="s">
        <v>89</v>
      </c>
      <c r="C61" s="1">
        <v>38991</v>
      </c>
      <c r="D61">
        <v>64.599999999999994</v>
      </c>
      <c r="E61">
        <v>66.099999999999994</v>
      </c>
      <c r="F61">
        <v>84.2</v>
      </c>
      <c r="G61" t="s">
        <v>30</v>
      </c>
      <c r="H61">
        <v>5.1984126984126986</v>
      </c>
      <c r="I61">
        <v>5.5</v>
      </c>
      <c r="J61">
        <v>5</v>
      </c>
      <c r="K61">
        <v>5.5</v>
      </c>
      <c r="L61">
        <v>63</v>
      </c>
      <c r="M61">
        <v>2</v>
      </c>
      <c r="N61">
        <v>0.5</v>
      </c>
      <c r="O61">
        <v>0.5</v>
      </c>
      <c r="P61">
        <v>1.2539184952978122</v>
      </c>
      <c r="Q61">
        <v>16.606498194945839</v>
      </c>
      <c r="R61">
        <v>3.9308176100628867</v>
      </c>
      <c r="S61">
        <v>16.373239436619723</v>
      </c>
      <c r="T61">
        <v>2.3086269744835963</v>
      </c>
      <c r="U61">
        <v>0.76722090261282649</v>
      </c>
      <c r="V61">
        <v>0.78503562945368166</v>
      </c>
      <c r="W61">
        <v>1.2539184952978122</v>
      </c>
      <c r="X61">
        <v>16.606498194945839</v>
      </c>
      <c r="Y61">
        <v>3.9308176100628867</v>
      </c>
      <c r="Z61">
        <v>16.373239436619723</v>
      </c>
      <c r="AA61">
        <v>0.76722090261282649</v>
      </c>
      <c r="AB61">
        <v>0.78503562945368166</v>
      </c>
      <c r="AC61">
        <v>13.975235171544442</v>
      </c>
      <c r="AD61" t="str">
        <f>tbl_mart[[#This Row],[boligtype_code]]&amp;"|"&amp;tbl_mart[[#This Row],[quarter]]</f>
        <v>0|2006Q4</v>
      </c>
      <c r="AE61" s="9">
        <f>INT(YEAR(tbl_mart[[#This Row],[quarter_start]])/10)*10</f>
        <v>2000</v>
      </c>
    </row>
    <row r="62" spans="1:31" x14ac:dyDescent="0.2">
      <c r="A62">
        <v>0</v>
      </c>
      <c r="B62" t="s">
        <v>90</v>
      </c>
      <c r="C62" s="1">
        <v>39083</v>
      </c>
      <c r="D62">
        <v>68.599999999999994</v>
      </c>
      <c r="E62">
        <v>68.400000000000006</v>
      </c>
      <c r="F62">
        <v>84.8</v>
      </c>
      <c r="G62" t="s">
        <v>30</v>
      </c>
      <c r="H62">
        <v>5.5546875</v>
      </c>
      <c r="I62">
        <v>5</v>
      </c>
      <c r="J62">
        <v>5</v>
      </c>
      <c r="K62">
        <v>5.75</v>
      </c>
      <c r="L62">
        <v>64</v>
      </c>
      <c r="M62">
        <v>2</v>
      </c>
      <c r="N62">
        <v>-0.5</v>
      </c>
      <c r="O62">
        <v>1</v>
      </c>
      <c r="P62">
        <v>6.1919504643962897</v>
      </c>
      <c r="Q62">
        <v>16.468590831918494</v>
      </c>
      <c r="R62">
        <v>3.4795763993948681</v>
      </c>
      <c r="S62">
        <v>16.524701873935264</v>
      </c>
      <c r="T62">
        <v>0.71258907363420665</v>
      </c>
      <c r="U62">
        <v>0.80896226415094341</v>
      </c>
      <c r="V62">
        <v>0.80660377358490576</v>
      </c>
      <c r="W62">
        <v>6.1919504643962897</v>
      </c>
      <c r="X62">
        <v>16.468590831918494</v>
      </c>
      <c r="Y62">
        <v>3.4795763993948681</v>
      </c>
      <c r="Z62">
        <v>16.524701873935264</v>
      </c>
      <c r="AA62">
        <v>0.80896226415094341</v>
      </c>
      <c r="AB62">
        <v>0.80660377358490576</v>
      </c>
      <c r="AC62">
        <v>15.644520613768131</v>
      </c>
      <c r="AD62" t="str">
        <f>tbl_mart[[#This Row],[boligtype_code]]&amp;"|"&amp;tbl_mart[[#This Row],[quarter]]</f>
        <v>0|2007Q1</v>
      </c>
      <c r="AE62" s="9">
        <f>INT(YEAR(tbl_mart[[#This Row],[quarter_start]])/10)*10</f>
        <v>2000</v>
      </c>
    </row>
    <row r="63" spans="1:31" x14ac:dyDescent="0.2">
      <c r="A63">
        <v>0</v>
      </c>
      <c r="B63" t="s">
        <v>91</v>
      </c>
      <c r="C63" s="1">
        <v>39173</v>
      </c>
      <c r="D63">
        <v>71.2</v>
      </c>
      <c r="E63">
        <v>70</v>
      </c>
      <c r="F63">
        <v>84.8</v>
      </c>
      <c r="G63" t="s">
        <v>30</v>
      </c>
      <c r="H63">
        <v>5.101694915254237</v>
      </c>
      <c r="I63">
        <v>5.5</v>
      </c>
      <c r="J63">
        <v>5</v>
      </c>
      <c r="K63">
        <v>5.5</v>
      </c>
      <c r="L63">
        <v>59</v>
      </c>
      <c r="M63">
        <v>2</v>
      </c>
      <c r="N63">
        <v>0.5</v>
      </c>
      <c r="O63">
        <v>0.5</v>
      </c>
      <c r="P63">
        <v>3.7900874635568682</v>
      </c>
      <c r="Q63">
        <v>15.210355987055024</v>
      </c>
      <c r="R63">
        <v>2.3391812865497075</v>
      </c>
      <c r="S63">
        <v>15.321252059308076</v>
      </c>
      <c r="T63">
        <v>0.71258907363420665</v>
      </c>
      <c r="U63">
        <v>0.839622641509434</v>
      </c>
      <c r="V63">
        <v>0.82547169811320753</v>
      </c>
      <c r="W63">
        <v>3.7900874635568682</v>
      </c>
      <c r="X63">
        <v>15.210355987055024</v>
      </c>
      <c r="Y63">
        <v>2.3391812865497075</v>
      </c>
      <c r="Z63">
        <v>15.321252059308076</v>
      </c>
      <c r="AA63">
        <v>0.839622641509434</v>
      </c>
      <c r="AB63">
        <v>0.82547169811320753</v>
      </c>
      <c r="AC63">
        <v>14.395188373939071</v>
      </c>
      <c r="AD63" t="str">
        <f>tbl_mart[[#This Row],[boligtype_code]]&amp;"|"&amp;tbl_mart[[#This Row],[quarter]]</f>
        <v>0|2007Q2</v>
      </c>
      <c r="AE63" s="9">
        <f>INT(YEAR(tbl_mart[[#This Row],[quarter_start]])/10)*10</f>
        <v>2000</v>
      </c>
    </row>
    <row r="64" spans="1:31" x14ac:dyDescent="0.2">
      <c r="A64">
        <v>0</v>
      </c>
      <c r="B64" t="s">
        <v>92</v>
      </c>
      <c r="C64" s="1">
        <v>39264</v>
      </c>
      <c r="D64">
        <v>71.099999999999994</v>
      </c>
      <c r="E64">
        <v>70.900000000000006</v>
      </c>
      <c r="F64">
        <v>84.8</v>
      </c>
      <c r="G64" t="s">
        <v>30</v>
      </c>
      <c r="H64">
        <v>5.6307692307692312</v>
      </c>
      <c r="I64">
        <v>6</v>
      </c>
      <c r="J64">
        <v>5.5</v>
      </c>
      <c r="K64">
        <v>6</v>
      </c>
      <c r="L64">
        <v>65</v>
      </c>
      <c r="M64">
        <v>2</v>
      </c>
      <c r="N64">
        <v>0.5</v>
      </c>
      <c r="O64">
        <v>0.5</v>
      </c>
      <c r="P64">
        <v>-0.14044943820226141</v>
      </c>
      <c r="Q64">
        <v>11.442006269592465</v>
      </c>
      <c r="R64">
        <v>1.28571428571429</v>
      </c>
      <c r="S64">
        <v>11.477987421383663</v>
      </c>
      <c r="T64">
        <v>0.71258907363420665</v>
      </c>
      <c r="U64">
        <v>0.83844339622641506</v>
      </c>
      <c r="V64">
        <v>0.83608490566037741</v>
      </c>
      <c r="W64">
        <v>-0.14044943820226141</v>
      </c>
      <c r="X64">
        <v>11.442006269592465</v>
      </c>
      <c r="Y64">
        <v>1.28571428571429</v>
      </c>
      <c r="Z64">
        <v>11.477987421383663</v>
      </c>
      <c r="AA64">
        <v>0.83844339622641506</v>
      </c>
      <c r="AB64">
        <v>0.83608490566037741</v>
      </c>
      <c r="AC64">
        <v>10.653501508251018</v>
      </c>
      <c r="AD64" t="str">
        <f>tbl_mart[[#This Row],[boligtype_code]]&amp;"|"&amp;tbl_mart[[#This Row],[quarter]]</f>
        <v>0|2007Q3</v>
      </c>
      <c r="AE64" s="9">
        <f>INT(YEAR(tbl_mart[[#This Row],[quarter_start]])/10)*10</f>
        <v>2000</v>
      </c>
    </row>
    <row r="65" spans="1:31" x14ac:dyDescent="0.2">
      <c r="A65">
        <v>0</v>
      </c>
      <c r="B65" t="s">
        <v>93</v>
      </c>
      <c r="C65" s="1">
        <v>39356</v>
      </c>
      <c r="D65">
        <v>69.5</v>
      </c>
      <c r="E65">
        <v>71.099999999999994</v>
      </c>
      <c r="F65">
        <v>84.8</v>
      </c>
      <c r="G65" t="s">
        <v>30</v>
      </c>
      <c r="H65">
        <v>6.0396825396825395</v>
      </c>
      <c r="I65">
        <v>6.25</v>
      </c>
      <c r="J65">
        <v>6</v>
      </c>
      <c r="K65">
        <v>6.25</v>
      </c>
      <c r="L65">
        <v>63</v>
      </c>
      <c r="M65">
        <v>1</v>
      </c>
      <c r="N65">
        <v>0.25</v>
      </c>
      <c r="O65">
        <v>0.25</v>
      </c>
      <c r="P65">
        <v>-2.2503516174402161</v>
      </c>
      <c r="Q65">
        <v>7.5851393188854477</v>
      </c>
      <c r="R65">
        <v>0.28208744710858102</v>
      </c>
      <c r="S65">
        <v>7.5642965204236079</v>
      </c>
      <c r="T65">
        <v>0.71258907363420665</v>
      </c>
      <c r="U65">
        <v>0.81957547169811329</v>
      </c>
      <c r="V65">
        <v>0.83844339622641506</v>
      </c>
      <c r="W65">
        <v>-2.2503516174402161</v>
      </c>
      <c r="X65">
        <v>7.5851393188854477</v>
      </c>
      <c r="Y65">
        <v>0.28208744710858102</v>
      </c>
      <c r="Z65">
        <v>7.5642965204236079</v>
      </c>
      <c r="AA65">
        <v>0.81957547169811329</v>
      </c>
      <c r="AB65">
        <v>0.83844339622641506</v>
      </c>
      <c r="AC65">
        <v>6.8239237104971373</v>
      </c>
      <c r="AD65" t="str">
        <f>tbl_mart[[#This Row],[boligtype_code]]&amp;"|"&amp;tbl_mart[[#This Row],[quarter]]</f>
        <v>0|2007Q4</v>
      </c>
      <c r="AE65" s="9">
        <f>INT(YEAR(tbl_mart[[#This Row],[quarter_start]])/10)*10</f>
        <v>2000</v>
      </c>
    </row>
    <row r="66" spans="1:31" x14ac:dyDescent="0.2">
      <c r="A66">
        <v>0</v>
      </c>
      <c r="B66" t="s">
        <v>94</v>
      </c>
      <c r="C66" s="1">
        <v>39448</v>
      </c>
      <c r="D66">
        <v>71.099999999999994</v>
      </c>
      <c r="E66">
        <v>71</v>
      </c>
      <c r="F66">
        <v>88</v>
      </c>
      <c r="G66" t="s">
        <v>30</v>
      </c>
      <c r="H66">
        <v>6.25</v>
      </c>
      <c r="I66">
        <v>6.25</v>
      </c>
      <c r="J66">
        <v>6.25</v>
      </c>
      <c r="K66">
        <v>6.25</v>
      </c>
      <c r="L66">
        <v>61</v>
      </c>
      <c r="P66">
        <v>2.302158273381294</v>
      </c>
      <c r="Q66">
        <v>3.6443148688046545</v>
      </c>
      <c r="R66">
        <v>-0.14064697609000865</v>
      </c>
      <c r="S66">
        <v>3.8011695906432719</v>
      </c>
      <c r="T66">
        <v>3.7735849056603765</v>
      </c>
      <c r="U66">
        <v>0.80795454545454537</v>
      </c>
      <c r="V66">
        <v>0.80681818181818177</v>
      </c>
      <c r="W66">
        <v>2.302158273381294</v>
      </c>
      <c r="X66">
        <v>3.6443148688046545</v>
      </c>
      <c r="Y66">
        <v>-0.14064697609000865</v>
      </c>
      <c r="Z66">
        <v>3.8011695906432719</v>
      </c>
      <c r="AA66">
        <v>0.80795454545454537</v>
      </c>
      <c r="AB66">
        <v>0.80681818181818177</v>
      </c>
      <c r="AC66">
        <v>-0.12456930824279455</v>
      </c>
      <c r="AD66" t="str">
        <f>tbl_mart[[#This Row],[boligtype_code]]&amp;"|"&amp;tbl_mart[[#This Row],[quarter]]</f>
        <v>0|2008Q1</v>
      </c>
      <c r="AE66" s="9">
        <f>INT(YEAR(tbl_mart[[#This Row],[quarter_start]])/10)*10</f>
        <v>2000</v>
      </c>
    </row>
    <row r="67" spans="1:31" x14ac:dyDescent="0.2">
      <c r="A67">
        <v>0</v>
      </c>
      <c r="B67" t="s">
        <v>95</v>
      </c>
      <c r="C67" s="1">
        <v>39539</v>
      </c>
      <c r="D67">
        <v>72</v>
      </c>
      <c r="E67">
        <v>70.7</v>
      </c>
      <c r="F67">
        <v>88</v>
      </c>
      <c r="G67" t="s">
        <v>30</v>
      </c>
      <c r="H67">
        <v>6.4444444444444446</v>
      </c>
      <c r="I67">
        <v>6.75</v>
      </c>
      <c r="J67">
        <v>6.25</v>
      </c>
      <c r="K67">
        <v>6.75</v>
      </c>
      <c r="L67">
        <v>63</v>
      </c>
      <c r="M67">
        <v>2</v>
      </c>
      <c r="N67">
        <v>0.5</v>
      </c>
      <c r="O67">
        <v>0.5</v>
      </c>
      <c r="P67">
        <v>1.2658227848101333</v>
      </c>
      <c r="Q67">
        <v>1.1235955056179803</v>
      </c>
      <c r="R67">
        <v>-0.42253521126760507</v>
      </c>
      <c r="S67">
        <v>1.0000000000000009</v>
      </c>
      <c r="T67">
        <v>3.7735849056603765</v>
      </c>
      <c r="U67">
        <v>0.81818181818181823</v>
      </c>
      <c r="V67">
        <v>0.80340909090909096</v>
      </c>
      <c r="W67">
        <v>1.2658227848101333</v>
      </c>
      <c r="X67">
        <v>1.1235955056179803</v>
      </c>
      <c r="Y67">
        <v>-0.42253521126760507</v>
      </c>
      <c r="Z67">
        <v>1.0000000000000009</v>
      </c>
      <c r="AA67">
        <v>0.81818181818181823</v>
      </c>
      <c r="AB67">
        <v>0.80340909090909096</v>
      </c>
      <c r="AC67">
        <v>-2.5536261491317602</v>
      </c>
      <c r="AD67" t="str">
        <f>tbl_mart[[#This Row],[boligtype_code]]&amp;"|"&amp;tbl_mart[[#This Row],[quarter]]</f>
        <v>0|2008Q2</v>
      </c>
      <c r="AE67" s="9">
        <f>INT(YEAR(tbl_mart[[#This Row],[quarter_start]])/10)*10</f>
        <v>2000</v>
      </c>
    </row>
    <row r="68" spans="1:31" x14ac:dyDescent="0.2">
      <c r="A68">
        <v>0</v>
      </c>
      <c r="B68" t="s">
        <v>96</v>
      </c>
      <c r="C68" s="1">
        <v>39630</v>
      </c>
      <c r="D68">
        <v>69.599999999999994</v>
      </c>
      <c r="E68">
        <v>69.400000000000006</v>
      </c>
      <c r="F68">
        <v>88</v>
      </c>
      <c r="G68" t="s">
        <v>30</v>
      </c>
      <c r="H68">
        <v>6.75</v>
      </c>
      <c r="I68">
        <v>6.75</v>
      </c>
      <c r="J68">
        <v>6.75</v>
      </c>
      <c r="K68">
        <v>6.75</v>
      </c>
      <c r="L68">
        <v>66</v>
      </c>
      <c r="P68">
        <v>-3.3333333333333437</v>
      </c>
      <c r="Q68">
        <v>-2.1097046413502074</v>
      </c>
      <c r="R68">
        <v>-1.8387553041018356</v>
      </c>
      <c r="S68">
        <v>-2.1156558533145242</v>
      </c>
      <c r="T68">
        <v>3.7735849056603765</v>
      </c>
      <c r="U68">
        <v>0.79090909090909089</v>
      </c>
      <c r="V68">
        <v>0.78863636363636369</v>
      </c>
      <c r="W68">
        <v>-3.3333333333333437</v>
      </c>
      <c r="X68">
        <v>-2.1097046413502074</v>
      </c>
      <c r="Y68">
        <v>-1.8387553041018356</v>
      </c>
      <c r="Z68">
        <v>-2.1156558533145242</v>
      </c>
      <c r="AA68">
        <v>0.79090909090909089</v>
      </c>
      <c r="AB68">
        <v>0.78863636363636369</v>
      </c>
      <c r="AC68">
        <v>-5.6693517453011104</v>
      </c>
      <c r="AD68" t="str">
        <f>tbl_mart[[#This Row],[boligtype_code]]&amp;"|"&amp;tbl_mart[[#This Row],[quarter]]</f>
        <v>0|2008Q3</v>
      </c>
      <c r="AE68" s="9">
        <f>INT(YEAR(tbl_mart[[#This Row],[quarter_start]])/10)*10</f>
        <v>2000</v>
      </c>
    </row>
    <row r="69" spans="1:31" x14ac:dyDescent="0.2">
      <c r="A69">
        <v>0</v>
      </c>
      <c r="B69" t="s">
        <v>97</v>
      </c>
      <c r="C69" s="1">
        <v>39722</v>
      </c>
      <c r="D69">
        <v>64.7</v>
      </c>
      <c r="E69">
        <v>66.2</v>
      </c>
      <c r="F69">
        <v>88</v>
      </c>
      <c r="G69" t="s">
        <v>30</v>
      </c>
      <c r="H69">
        <v>5.8095238095238093</v>
      </c>
      <c r="I69">
        <v>4</v>
      </c>
      <c r="J69">
        <v>4</v>
      </c>
      <c r="K69">
        <v>6.75</v>
      </c>
      <c r="L69">
        <v>63</v>
      </c>
      <c r="M69">
        <v>3</v>
      </c>
      <c r="N69">
        <v>-2.75</v>
      </c>
      <c r="O69">
        <v>2.75</v>
      </c>
      <c r="P69">
        <v>-7.0402298850574585</v>
      </c>
      <c r="Q69">
        <v>-6.9064748201438819</v>
      </c>
      <c r="R69">
        <v>-4.6109510086455359</v>
      </c>
      <c r="S69">
        <v>-6.891701828410679</v>
      </c>
      <c r="T69">
        <v>3.7735849056603765</v>
      </c>
      <c r="U69">
        <v>0.73522727272727273</v>
      </c>
      <c r="V69">
        <v>0.75227272727272732</v>
      </c>
      <c r="W69">
        <v>-7.0402298850574585</v>
      </c>
      <c r="X69">
        <v>-6.9064748201438819</v>
      </c>
      <c r="Y69">
        <v>-4.6109510086455359</v>
      </c>
      <c r="Z69">
        <v>-6.891701828410679</v>
      </c>
      <c r="AA69">
        <v>0.73522727272727273</v>
      </c>
      <c r="AB69">
        <v>0.75227272727272732</v>
      </c>
      <c r="AC69">
        <v>-10.291693917593204</v>
      </c>
      <c r="AD69" t="str">
        <f>tbl_mart[[#This Row],[boligtype_code]]&amp;"|"&amp;tbl_mart[[#This Row],[quarter]]</f>
        <v>0|2008Q4</v>
      </c>
      <c r="AE69" s="9">
        <f>INT(YEAR(tbl_mart[[#This Row],[quarter_start]])/10)*10</f>
        <v>2000</v>
      </c>
    </row>
    <row r="70" spans="1:31" x14ac:dyDescent="0.2">
      <c r="A70">
        <v>0</v>
      </c>
      <c r="B70" t="s">
        <v>98</v>
      </c>
      <c r="C70" s="1">
        <v>39814</v>
      </c>
      <c r="D70">
        <v>67.400000000000006</v>
      </c>
      <c r="E70">
        <v>67.3</v>
      </c>
      <c r="F70">
        <v>89.9</v>
      </c>
      <c r="G70" t="s">
        <v>30</v>
      </c>
      <c r="H70">
        <v>3.6587301587301586</v>
      </c>
      <c r="I70">
        <v>3</v>
      </c>
      <c r="J70">
        <v>3</v>
      </c>
      <c r="K70">
        <v>4</v>
      </c>
      <c r="L70">
        <v>63</v>
      </c>
      <c r="M70">
        <v>2</v>
      </c>
      <c r="N70">
        <v>-1</v>
      </c>
      <c r="O70">
        <v>1</v>
      </c>
      <c r="P70">
        <v>4.173106646058744</v>
      </c>
      <c r="Q70">
        <v>-5.2039381153305087</v>
      </c>
      <c r="R70">
        <v>1.6616314199395577</v>
      </c>
      <c r="S70">
        <v>-5.2112676056338074</v>
      </c>
      <c r="T70">
        <v>2.1590909090909216</v>
      </c>
      <c r="U70">
        <v>0.74972191323692994</v>
      </c>
      <c r="V70">
        <v>0.74860956618464958</v>
      </c>
      <c r="W70">
        <v>4.173106646058744</v>
      </c>
      <c r="X70">
        <v>-5.2039381153305087</v>
      </c>
      <c r="Y70">
        <v>1.6616314199395577</v>
      </c>
      <c r="Z70">
        <v>-5.2112676056338074</v>
      </c>
      <c r="AA70">
        <v>0.74972191323692994</v>
      </c>
      <c r="AB70">
        <v>0.74860956618464958</v>
      </c>
      <c r="AC70">
        <v>-7.2074143954292014</v>
      </c>
      <c r="AD70" t="str">
        <f>tbl_mart[[#This Row],[boligtype_code]]&amp;"|"&amp;tbl_mart[[#This Row],[quarter]]</f>
        <v>0|2009Q1</v>
      </c>
      <c r="AE70" s="9">
        <f>INT(YEAR(tbl_mart[[#This Row],[quarter_start]])/10)*10</f>
        <v>2000</v>
      </c>
    </row>
    <row r="71" spans="1:31" x14ac:dyDescent="0.2">
      <c r="A71">
        <v>0</v>
      </c>
      <c r="B71" t="s">
        <v>99</v>
      </c>
      <c r="C71" s="1">
        <v>39904</v>
      </c>
      <c r="D71">
        <v>70.900000000000006</v>
      </c>
      <c r="E71">
        <v>69.599999999999994</v>
      </c>
      <c r="F71">
        <v>89.9</v>
      </c>
      <c r="G71" t="s">
        <v>30</v>
      </c>
      <c r="H71">
        <v>2.6483050847457625</v>
      </c>
      <c r="I71">
        <v>2.25</v>
      </c>
      <c r="J71">
        <v>2.25</v>
      </c>
      <c r="K71">
        <v>3</v>
      </c>
      <c r="L71">
        <v>59</v>
      </c>
      <c r="M71">
        <v>2</v>
      </c>
      <c r="N71">
        <v>-0.75</v>
      </c>
      <c r="O71">
        <v>0.75</v>
      </c>
      <c r="P71">
        <v>5.1928783382789279</v>
      </c>
      <c r="Q71">
        <v>-1.5277777777777724</v>
      </c>
      <c r="R71">
        <v>3.4175334323922613</v>
      </c>
      <c r="S71">
        <v>-1.5558698727015652</v>
      </c>
      <c r="T71">
        <v>2.1590909090909216</v>
      </c>
      <c r="U71">
        <v>0.78865406006674088</v>
      </c>
      <c r="V71">
        <v>0.77419354838709664</v>
      </c>
      <c r="W71">
        <v>5.1928783382789279</v>
      </c>
      <c r="X71">
        <v>-1.5277777777777724</v>
      </c>
      <c r="Y71">
        <v>3.4175334323922613</v>
      </c>
      <c r="Z71">
        <v>-1.5558698727015652</v>
      </c>
      <c r="AA71">
        <v>0.78865406006674088</v>
      </c>
      <c r="AB71">
        <v>0.77419354838709664</v>
      </c>
      <c r="AC71">
        <v>-3.6089482140650109</v>
      </c>
      <c r="AD71" t="str">
        <f>tbl_mart[[#This Row],[boligtype_code]]&amp;"|"&amp;tbl_mart[[#This Row],[quarter]]</f>
        <v>0|2009Q2</v>
      </c>
      <c r="AE71" s="9">
        <f>INT(YEAR(tbl_mart[[#This Row],[quarter_start]])/10)*10</f>
        <v>2000</v>
      </c>
    </row>
    <row r="72" spans="1:31" x14ac:dyDescent="0.2">
      <c r="A72">
        <v>0</v>
      </c>
      <c r="B72" t="s">
        <v>100</v>
      </c>
      <c r="C72" s="1">
        <v>39995</v>
      </c>
      <c r="D72">
        <v>72.2</v>
      </c>
      <c r="E72">
        <v>72</v>
      </c>
      <c r="F72">
        <v>89.9</v>
      </c>
      <c r="G72" t="s">
        <v>30</v>
      </c>
      <c r="H72">
        <v>2.25</v>
      </c>
      <c r="I72">
        <v>2.25</v>
      </c>
      <c r="J72">
        <v>2.25</v>
      </c>
      <c r="K72">
        <v>2.25</v>
      </c>
      <c r="L72">
        <v>66</v>
      </c>
      <c r="P72">
        <v>1.833568406205921</v>
      </c>
      <c r="Q72">
        <v>3.7356321839080664</v>
      </c>
      <c r="R72">
        <v>3.4482758620689724</v>
      </c>
      <c r="S72">
        <v>3.7463976945244948</v>
      </c>
      <c r="T72">
        <v>2.1590909090909216</v>
      </c>
      <c r="U72">
        <v>0.8031145717463849</v>
      </c>
      <c r="V72">
        <v>0.80088987764182418</v>
      </c>
      <c r="W72">
        <v>1.833568406205921</v>
      </c>
      <c r="X72">
        <v>3.7356321839080664</v>
      </c>
      <c r="Y72">
        <v>3.4482758620689724</v>
      </c>
      <c r="Z72">
        <v>3.7463976945244948</v>
      </c>
      <c r="AA72">
        <v>0.8031145717463849</v>
      </c>
      <c r="AB72">
        <v>0.80088987764182418</v>
      </c>
      <c r="AC72">
        <v>1.5432217150601613</v>
      </c>
      <c r="AD72" t="str">
        <f>tbl_mart[[#This Row],[boligtype_code]]&amp;"|"&amp;tbl_mart[[#This Row],[quarter]]</f>
        <v>0|2009Q3</v>
      </c>
      <c r="AE72" s="9">
        <f>INT(YEAR(tbl_mart[[#This Row],[quarter_start]])/10)*10</f>
        <v>2000</v>
      </c>
    </row>
    <row r="73" spans="1:31" x14ac:dyDescent="0.2">
      <c r="A73">
        <v>0</v>
      </c>
      <c r="B73" t="s">
        <v>101</v>
      </c>
      <c r="C73" s="1">
        <v>40087</v>
      </c>
      <c r="D73">
        <v>72.2</v>
      </c>
      <c r="E73">
        <v>73.8</v>
      </c>
      <c r="F73">
        <v>89.9</v>
      </c>
      <c r="G73" t="s">
        <v>30</v>
      </c>
      <c r="H73">
        <v>2.45703125</v>
      </c>
      <c r="I73">
        <v>2.75</v>
      </c>
      <c r="J73">
        <v>2.25</v>
      </c>
      <c r="K73">
        <v>2.75</v>
      </c>
      <c r="L73">
        <v>64</v>
      </c>
      <c r="M73">
        <v>2</v>
      </c>
      <c r="N73">
        <v>0.5</v>
      </c>
      <c r="O73">
        <v>0.5</v>
      </c>
      <c r="P73">
        <v>0</v>
      </c>
      <c r="Q73">
        <v>11.591962905718711</v>
      </c>
      <c r="R73">
        <v>2.4999999999999911</v>
      </c>
      <c r="S73">
        <v>11.480362537764343</v>
      </c>
      <c r="T73">
        <v>2.1590909090909216</v>
      </c>
      <c r="U73">
        <v>0.8031145717463849</v>
      </c>
      <c r="V73">
        <v>0.82091212458286977</v>
      </c>
      <c r="W73">
        <v>0</v>
      </c>
      <c r="X73">
        <v>11.591962905718711</v>
      </c>
      <c r="Y73">
        <v>2.4999999999999911</v>
      </c>
      <c r="Z73">
        <v>11.480362537764343</v>
      </c>
      <c r="AA73">
        <v>0.8031145717463849</v>
      </c>
      <c r="AB73">
        <v>0.82091212458286977</v>
      </c>
      <c r="AC73">
        <v>9.2335120767880632</v>
      </c>
      <c r="AD73" t="str">
        <f>tbl_mart[[#This Row],[boligtype_code]]&amp;"|"&amp;tbl_mart[[#This Row],[quarter]]</f>
        <v>0|2009Q4</v>
      </c>
      <c r="AE73" s="9">
        <f>INT(YEAR(tbl_mart[[#This Row],[quarter_start]])/10)*10</f>
        <v>2000</v>
      </c>
    </row>
    <row r="74" spans="1:31" x14ac:dyDescent="0.2">
      <c r="A74">
        <v>0</v>
      </c>
      <c r="B74" t="s">
        <v>102</v>
      </c>
      <c r="C74" s="1">
        <v>40179</v>
      </c>
      <c r="D74">
        <v>74.599999999999994</v>
      </c>
      <c r="E74">
        <v>74.7</v>
      </c>
      <c r="F74">
        <v>92.1</v>
      </c>
      <c r="G74" t="s">
        <v>30</v>
      </c>
      <c r="H74">
        <v>2.75</v>
      </c>
      <c r="I74">
        <v>2.75</v>
      </c>
      <c r="J74">
        <v>2.75</v>
      </c>
      <c r="K74">
        <v>2.75</v>
      </c>
      <c r="L74">
        <v>63</v>
      </c>
      <c r="P74">
        <v>3.3240997229916802</v>
      </c>
      <c r="Q74">
        <v>10.682492581602364</v>
      </c>
      <c r="R74">
        <v>1.2195121951219523</v>
      </c>
      <c r="S74">
        <v>10.995542347696885</v>
      </c>
      <c r="T74">
        <v>2.4471635150166815</v>
      </c>
      <c r="U74">
        <v>0.80998914223669927</v>
      </c>
      <c r="V74">
        <v>0.81107491856677527</v>
      </c>
      <c r="W74">
        <v>3.3240997229916802</v>
      </c>
      <c r="X74">
        <v>10.682492581602364</v>
      </c>
      <c r="Y74">
        <v>1.2195121951219523</v>
      </c>
      <c r="Z74">
        <v>10.995542347696885</v>
      </c>
      <c r="AA74">
        <v>0.80998914223669927</v>
      </c>
      <c r="AB74">
        <v>0.81107491856677527</v>
      </c>
      <c r="AC74">
        <v>8.038611108426208</v>
      </c>
      <c r="AD74" t="str">
        <f>tbl_mart[[#This Row],[boligtype_code]]&amp;"|"&amp;tbl_mart[[#This Row],[quarter]]</f>
        <v>0|2010Q1</v>
      </c>
      <c r="AE74" s="9">
        <f>INT(YEAR(tbl_mart[[#This Row],[quarter_start]])/10)*10</f>
        <v>2010</v>
      </c>
    </row>
    <row r="75" spans="1:31" x14ac:dyDescent="0.2">
      <c r="A75">
        <v>0</v>
      </c>
      <c r="B75" t="s">
        <v>103</v>
      </c>
      <c r="C75" s="1">
        <v>40269</v>
      </c>
      <c r="D75">
        <v>77.400000000000006</v>
      </c>
      <c r="E75">
        <v>75.900000000000006</v>
      </c>
      <c r="F75">
        <v>92.1</v>
      </c>
      <c r="G75" t="s">
        <v>30</v>
      </c>
      <c r="H75">
        <v>2.906779661016949</v>
      </c>
      <c r="I75">
        <v>3</v>
      </c>
      <c r="J75">
        <v>2.75</v>
      </c>
      <c r="K75">
        <v>3</v>
      </c>
      <c r="L75">
        <v>59</v>
      </c>
      <c r="M75">
        <v>1</v>
      </c>
      <c r="N75">
        <v>0.25</v>
      </c>
      <c r="O75">
        <v>0.25</v>
      </c>
      <c r="P75">
        <v>3.7533512064343411</v>
      </c>
      <c r="Q75">
        <v>9.1678420310296271</v>
      </c>
      <c r="R75">
        <v>1.6064257028112428</v>
      </c>
      <c r="S75">
        <v>9.0517241379310498</v>
      </c>
      <c r="T75">
        <v>2.4471635150166815</v>
      </c>
      <c r="U75">
        <v>0.84039087947882751</v>
      </c>
      <c r="V75">
        <v>0.82410423452768744</v>
      </c>
      <c r="W75">
        <v>3.7533512064343411</v>
      </c>
      <c r="X75">
        <v>9.1678420310296271</v>
      </c>
      <c r="Y75">
        <v>1.6064257028112428</v>
      </c>
      <c r="Z75">
        <v>9.0517241379310498</v>
      </c>
      <c r="AA75">
        <v>0.84039087947882751</v>
      </c>
      <c r="AB75">
        <v>0.82410423452768744</v>
      </c>
      <c r="AC75">
        <v>6.5601411356087214</v>
      </c>
      <c r="AD75" t="str">
        <f>tbl_mart[[#This Row],[boligtype_code]]&amp;"|"&amp;tbl_mart[[#This Row],[quarter]]</f>
        <v>0|2010Q2</v>
      </c>
      <c r="AE75" s="9">
        <f>INT(YEAR(tbl_mart[[#This Row],[quarter_start]])/10)*10</f>
        <v>2010</v>
      </c>
    </row>
    <row r="76" spans="1:31" x14ac:dyDescent="0.2">
      <c r="A76">
        <v>0</v>
      </c>
      <c r="B76" t="s">
        <v>104</v>
      </c>
      <c r="C76" s="1">
        <v>40360</v>
      </c>
      <c r="D76">
        <v>77</v>
      </c>
      <c r="E76">
        <v>76.8</v>
      </c>
      <c r="F76">
        <v>92.1</v>
      </c>
      <c r="G76" t="s">
        <v>30</v>
      </c>
      <c r="H76">
        <v>3</v>
      </c>
      <c r="I76">
        <v>3</v>
      </c>
      <c r="J76">
        <v>3</v>
      </c>
      <c r="K76">
        <v>3</v>
      </c>
      <c r="L76">
        <v>66</v>
      </c>
      <c r="P76">
        <v>-0.51679586563307955</v>
      </c>
      <c r="Q76">
        <v>6.6481994459833826</v>
      </c>
      <c r="R76">
        <v>1.1857707509881354</v>
      </c>
      <c r="S76">
        <v>6.6666666666666652</v>
      </c>
      <c r="T76">
        <v>2.4471635150166815</v>
      </c>
      <c r="U76">
        <v>0.83604777415852338</v>
      </c>
      <c r="V76">
        <v>0.83387622149837137</v>
      </c>
      <c r="W76">
        <v>-0.51679586563307955</v>
      </c>
      <c r="X76">
        <v>6.6481994459833826</v>
      </c>
      <c r="Y76">
        <v>1.1857707509881354</v>
      </c>
      <c r="Z76">
        <v>6.6666666666666652</v>
      </c>
      <c r="AA76">
        <v>0.83604777415852338</v>
      </c>
      <c r="AB76">
        <v>0.83387622149837137</v>
      </c>
      <c r="AC76">
        <v>4.1006854527025682</v>
      </c>
      <c r="AD76" t="str">
        <f>tbl_mart[[#This Row],[boligtype_code]]&amp;"|"&amp;tbl_mart[[#This Row],[quarter]]</f>
        <v>0|2010Q3</v>
      </c>
      <c r="AE76" s="9">
        <f>INT(YEAR(tbl_mart[[#This Row],[quarter_start]])/10)*10</f>
        <v>2010</v>
      </c>
    </row>
    <row r="77" spans="1:31" x14ac:dyDescent="0.2">
      <c r="A77">
        <v>0</v>
      </c>
      <c r="B77" t="s">
        <v>105</v>
      </c>
      <c r="C77" s="1">
        <v>40452</v>
      </c>
      <c r="D77">
        <v>76.900000000000006</v>
      </c>
      <c r="E77">
        <v>78.599999999999994</v>
      </c>
      <c r="F77">
        <v>92.1</v>
      </c>
      <c r="G77" t="s">
        <v>30</v>
      </c>
      <c r="H77">
        <v>3</v>
      </c>
      <c r="I77">
        <v>3</v>
      </c>
      <c r="J77">
        <v>3</v>
      </c>
      <c r="K77">
        <v>3</v>
      </c>
      <c r="L77">
        <v>65</v>
      </c>
      <c r="P77">
        <v>-0.12987012987012436</v>
      </c>
      <c r="Q77">
        <v>6.5096952908587191</v>
      </c>
      <c r="R77">
        <v>2.34375</v>
      </c>
      <c r="S77">
        <v>6.5040650406503975</v>
      </c>
      <c r="T77">
        <v>2.4471635150166815</v>
      </c>
      <c r="U77">
        <v>0.83496199782844749</v>
      </c>
      <c r="V77">
        <v>0.85342019543973946</v>
      </c>
      <c r="W77">
        <v>-0.12987012987012436</v>
      </c>
      <c r="X77">
        <v>6.5096952908587191</v>
      </c>
      <c r="Y77">
        <v>2.34375</v>
      </c>
      <c r="Z77">
        <v>6.5040650406503975</v>
      </c>
      <c r="AA77">
        <v>0.83496199782844749</v>
      </c>
      <c r="AB77">
        <v>0.85342019543973946</v>
      </c>
      <c r="AC77">
        <v>3.9654897573094594</v>
      </c>
      <c r="AD77" t="str">
        <f>tbl_mart[[#This Row],[boligtype_code]]&amp;"|"&amp;tbl_mart[[#This Row],[quarter]]</f>
        <v>0|2010Q4</v>
      </c>
      <c r="AE77" s="9">
        <f>INT(YEAR(tbl_mart[[#This Row],[quarter_start]])/10)*10</f>
        <v>2010</v>
      </c>
    </row>
    <row r="78" spans="1:31" x14ac:dyDescent="0.2">
      <c r="A78">
        <v>0</v>
      </c>
      <c r="B78" t="s">
        <v>106</v>
      </c>
      <c r="C78" s="1">
        <v>40544</v>
      </c>
      <c r="D78">
        <v>80.900000000000006</v>
      </c>
      <c r="E78">
        <v>80.900000000000006</v>
      </c>
      <c r="F78">
        <v>93.3</v>
      </c>
      <c r="G78" t="s">
        <v>30</v>
      </c>
      <c r="H78">
        <v>3</v>
      </c>
      <c r="I78">
        <v>3</v>
      </c>
      <c r="J78">
        <v>3</v>
      </c>
      <c r="K78">
        <v>3</v>
      </c>
      <c r="L78">
        <v>64</v>
      </c>
      <c r="P78">
        <v>5.2015604681404426</v>
      </c>
      <c r="Q78">
        <v>8.4450402144772276</v>
      </c>
      <c r="R78">
        <v>2.9262086513994978</v>
      </c>
      <c r="S78">
        <v>8.2998661311914468</v>
      </c>
      <c r="T78">
        <v>1.3029315960912058</v>
      </c>
      <c r="U78">
        <v>0.86709539121114687</v>
      </c>
      <c r="V78">
        <v>0.86709539121114687</v>
      </c>
      <c r="W78">
        <v>5.2015604681404426</v>
      </c>
      <c r="X78">
        <v>8.4450402144772276</v>
      </c>
      <c r="Y78">
        <v>2.9262086513994978</v>
      </c>
      <c r="Z78">
        <v>8.2998661311914468</v>
      </c>
      <c r="AA78">
        <v>0.86709539121114687</v>
      </c>
      <c r="AB78">
        <v>0.86709539121114687</v>
      </c>
      <c r="AC78">
        <v>7.0502487004646452</v>
      </c>
      <c r="AD78" t="str">
        <f>tbl_mart[[#This Row],[boligtype_code]]&amp;"|"&amp;tbl_mart[[#This Row],[quarter]]</f>
        <v>0|2011Q1</v>
      </c>
      <c r="AE78" s="9">
        <f>INT(YEAR(tbl_mart[[#This Row],[quarter_start]])/10)*10</f>
        <v>2010</v>
      </c>
    </row>
    <row r="79" spans="1:31" x14ac:dyDescent="0.2">
      <c r="A79">
        <v>0</v>
      </c>
      <c r="B79" t="s">
        <v>107</v>
      </c>
      <c r="C79" s="1">
        <v>40634</v>
      </c>
      <c r="D79">
        <v>83.1</v>
      </c>
      <c r="E79">
        <v>81.5</v>
      </c>
      <c r="F79">
        <v>93.3</v>
      </c>
      <c r="G79" t="s">
        <v>30</v>
      </c>
      <c r="H79">
        <v>3.1355932203389831</v>
      </c>
      <c r="I79">
        <v>3.25</v>
      </c>
      <c r="J79">
        <v>3</v>
      </c>
      <c r="K79">
        <v>3.25</v>
      </c>
      <c r="L79">
        <v>59</v>
      </c>
      <c r="M79">
        <v>1</v>
      </c>
      <c r="N79">
        <v>0.25</v>
      </c>
      <c r="O79">
        <v>0.25</v>
      </c>
      <c r="P79">
        <v>2.7194066749072876</v>
      </c>
      <c r="Q79">
        <v>7.3643410852713087</v>
      </c>
      <c r="R79">
        <v>0.74165636588379158</v>
      </c>
      <c r="S79">
        <v>7.3781291172595465</v>
      </c>
      <c r="T79">
        <v>1.3029315960912058</v>
      </c>
      <c r="U79">
        <v>0.89067524115755625</v>
      </c>
      <c r="V79">
        <v>0.87352625937834949</v>
      </c>
      <c r="W79">
        <v>2.7194066749072876</v>
      </c>
      <c r="X79">
        <v>7.3643410852713087</v>
      </c>
      <c r="Y79">
        <v>0.74165636588379158</v>
      </c>
      <c r="Z79">
        <v>7.3781291172595465</v>
      </c>
      <c r="AA79">
        <v>0.89067524115755625</v>
      </c>
      <c r="AB79">
        <v>0.87352625937834949</v>
      </c>
      <c r="AC79">
        <v>5.9834492385153926</v>
      </c>
      <c r="AD79" t="str">
        <f>tbl_mart[[#This Row],[boligtype_code]]&amp;"|"&amp;tbl_mart[[#This Row],[quarter]]</f>
        <v>0|2011Q2</v>
      </c>
      <c r="AE79" s="9">
        <f>INT(YEAR(tbl_mart[[#This Row],[quarter_start]])/10)*10</f>
        <v>2010</v>
      </c>
    </row>
    <row r="80" spans="1:31" x14ac:dyDescent="0.2">
      <c r="A80">
        <v>0</v>
      </c>
      <c r="B80" t="s">
        <v>108</v>
      </c>
      <c r="C80" s="1">
        <v>40725</v>
      </c>
      <c r="D80">
        <v>83.4</v>
      </c>
      <c r="E80">
        <v>83.2</v>
      </c>
      <c r="F80">
        <v>93.3</v>
      </c>
      <c r="G80" t="s">
        <v>30</v>
      </c>
      <c r="H80">
        <v>3.25</v>
      </c>
      <c r="I80">
        <v>3.25</v>
      </c>
      <c r="J80">
        <v>3.25</v>
      </c>
      <c r="K80">
        <v>3.25</v>
      </c>
      <c r="L80">
        <v>66</v>
      </c>
      <c r="P80">
        <v>0.36101083032491488</v>
      </c>
      <c r="Q80">
        <v>8.3116883116883145</v>
      </c>
      <c r="R80">
        <v>2.0858895705521574</v>
      </c>
      <c r="S80">
        <v>8.3333333333333481</v>
      </c>
      <c r="T80">
        <v>1.3029315960912058</v>
      </c>
      <c r="U80">
        <v>0.89389067524115762</v>
      </c>
      <c r="V80">
        <v>0.89174705251875674</v>
      </c>
      <c r="W80">
        <v>0.36101083032491488</v>
      </c>
      <c r="X80">
        <v>8.3116883116883145</v>
      </c>
      <c r="Y80">
        <v>2.0858895705521574</v>
      </c>
      <c r="Z80">
        <v>8.3333333333333481</v>
      </c>
      <c r="AA80">
        <v>0.89389067524115762</v>
      </c>
      <c r="AB80">
        <v>0.89174705251875674</v>
      </c>
      <c r="AC80">
        <v>6.9186119346891006</v>
      </c>
      <c r="AD80" t="str">
        <f>tbl_mart[[#This Row],[boligtype_code]]&amp;"|"&amp;tbl_mart[[#This Row],[quarter]]</f>
        <v>0|2011Q3</v>
      </c>
      <c r="AE80" s="9">
        <f>INT(YEAR(tbl_mart[[#This Row],[quarter_start]])/10)*10</f>
        <v>2010</v>
      </c>
    </row>
    <row r="81" spans="1:31" x14ac:dyDescent="0.2">
      <c r="A81">
        <v>0</v>
      </c>
      <c r="B81" t="s">
        <v>109</v>
      </c>
      <c r="C81" s="1">
        <v>40817</v>
      </c>
      <c r="D81">
        <v>83</v>
      </c>
      <c r="E81">
        <v>84.8</v>
      </c>
      <c r="F81">
        <v>93.3</v>
      </c>
      <c r="G81" t="s">
        <v>30</v>
      </c>
      <c r="H81">
        <v>3.1640625</v>
      </c>
      <c r="I81">
        <v>2.75</v>
      </c>
      <c r="J81">
        <v>2.75</v>
      </c>
      <c r="K81">
        <v>3.25</v>
      </c>
      <c r="L81">
        <v>64</v>
      </c>
      <c r="M81">
        <v>1</v>
      </c>
      <c r="N81">
        <v>-0.5</v>
      </c>
      <c r="O81">
        <v>0.5</v>
      </c>
      <c r="P81">
        <v>-0.47961630695444457</v>
      </c>
      <c r="Q81">
        <v>7.9323797139141616</v>
      </c>
      <c r="R81">
        <v>1.9230769230769162</v>
      </c>
      <c r="S81">
        <v>7.8880407124682028</v>
      </c>
      <c r="T81">
        <v>1.3029315960912058</v>
      </c>
      <c r="U81">
        <v>0.88960342979635587</v>
      </c>
      <c r="V81">
        <v>0.90889603429796351</v>
      </c>
      <c r="W81">
        <v>-0.47961630695444457</v>
      </c>
      <c r="X81">
        <v>7.9323797139141616</v>
      </c>
      <c r="Y81">
        <v>1.9230769230769162</v>
      </c>
      <c r="Z81">
        <v>7.8880407124682028</v>
      </c>
      <c r="AA81">
        <v>0.88960342979635587</v>
      </c>
      <c r="AB81">
        <v>0.90889603429796351</v>
      </c>
      <c r="AC81">
        <v>6.5441819040888971</v>
      </c>
      <c r="AD81" t="str">
        <f>tbl_mart[[#This Row],[boligtype_code]]&amp;"|"&amp;tbl_mart[[#This Row],[quarter]]</f>
        <v>0|2011Q4</v>
      </c>
      <c r="AE81" s="9">
        <f>INT(YEAR(tbl_mart[[#This Row],[quarter_start]])/10)*10</f>
        <v>2010</v>
      </c>
    </row>
    <row r="82" spans="1:31" x14ac:dyDescent="0.2">
      <c r="A82">
        <v>0</v>
      </c>
      <c r="B82" t="s">
        <v>110</v>
      </c>
      <c r="C82" s="1">
        <v>40909</v>
      </c>
      <c r="D82">
        <v>86</v>
      </c>
      <c r="E82">
        <v>86.1</v>
      </c>
      <c r="F82">
        <v>93.9</v>
      </c>
      <c r="G82" t="s">
        <v>30</v>
      </c>
      <c r="H82">
        <v>2.703846153846154</v>
      </c>
      <c r="I82">
        <v>2.5</v>
      </c>
      <c r="J82">
        <v>2.5</v>
      </c>
      <c r="K82">
        <v>2.75</v>
      </c>
      <c r="L82">
        <v>65</v>
      </c>
      <c r="M82">
        <v>1</v>
      </c>
      <c r="N82">
        <v>-0.25</v>
      </c>
      <c r="O82">
        <v>0.25</v>
      </c>
      <c r="P82">
        <v>3.6144578313253017</v>
      </c>
      <c r="Q82">
        <v>6.3040791100123617</v>
      </c>
      <c r="R82">
        <v>1.5330188679245182</v>
      </c>
      <c r="S82">
        <v>6.4276885043263121</v>
      </c>
      <c r="T82">
        <v>0.64308681672027301</v>
      </c>
      <c r="U82">
        <v>0.91586794462193821</v>
      </c>
      <c r="V82">
        <v>0.91693290734824273</v>
      </c>
      <c r="W82">
        <v>3.6144578313253017</v>
      </c>
      <c r="X82">
        <v>6.3040791100123617</v>
      </c>
      <c r="Y82">
        <v>1.5330188679245182</v>
      </c>
      <c r="Z82">
        <v>6.4276885043263121</v>
      </c>
      <c r="AA82">
        <v>0.91586794462193821</v>
      </c>
      <c r="AB82">
        <v>0.91693290734824273</v>
      </c>
      <c r="AC82">
        <v>5.6248198185745668</v>
      </c>
      <c r="AD82" t="str">
        <f>tbl_mart[[#This Row],[boligtype_code]]&amp;"|"&amp;tbl_mart[[#This Row],[quarter]]</f>
        <v>0|2012Q1</v>
      </c>
      <c r="AE82" s="9">
        <f>INT(YEAR(tbl_mart[[#This Row],[quarter_start]])/10)*10</f>
        <v>2010</v>
      </c>
    </row>
    <row r="83" spans="1:31" x14ac:dyDescent="0.2">
      <c r="A83">
        <v>0</v>
      </c>
      <c r="B83" t="s">
        <v>111</v>
      </c>
      <c r="C83" s="1">
        <v>41000</v>
      </c>
      <c r="D83">
        <v>88.8</v>
      </c>
      <c r="E83">
        <v>87.1</v>
      </c>
      <c r="F83">
        <v>93.9</v>
      </c>
      <c r="G83" t="s">
        <v>30</v>
      </c>
      <c r="H83">
        <v>2.5</v>
      </c>
      <c r="I83">
        <v>2.5</v>
      </c>
      <c r="J83">
        <v>2.5</v>
      </c>
      <c r="K83">
        <v>2.5</v>
      </c>
      <c r="L83">
        <v>59</v>
      </c>
      <c r="P83">
        <v>3.2558139534883734</v>
      </c>
      <c r="Q83">
        <v>6.8592057761732939</v>
      </c>
      <c r="R83">
        <v>1.1614401858304202</v>
      </c>
      <c r="S83">
        <v>6.8711656441717617</v>
      </c>
      <c r="T83">
        <v>0.64308681672027301</v>
      </c>
      <c r="U83">
        <v>0.94568690095846641</v>
      </c>
      <c r="V83">
        <v>0.92758253461128848</v>
      </c>
      <c r="W83">
        <v>3.2558139534883734</v>
      </c>
      <c r="X83">
        <v>6.8592057761732939</v>
      </c>
      <c r="Y83">
        <v>1.1614401858304202</v>
      </c>
      <c r="Z83">
        <v>6.8711656441717617</v>
      </c>
      <c r="AA83">
        <v>0.94568690095846641</v>
      </c>
      <c r="AB83">
        <v>0.92758253461128848</v>
      </c>
      <c r="AC83">
        <v>6.1763993494884595</v>
      </c>
      <c r="AD83" t="str">
        <f>tbl_mart[[#This Row],[boligtype_code]]&amp;"|"&amp;tbl_mart[[#This Row],[quarter]]</f>
        <v>0|2012Q2</v>
      </c>
      <c r="AE83" s="9">
        <f>INT(YEAR(tbl_mart[[#This Row],[quarter_start]])/10)*10</f>
        <v>2010</v>
      </c>
    </row>
    <row r="84" spans="1:31" x14ac:dyDescent="0.2">
      <c r="A84">
        <v>0</v>
      </c>
      <c r="B84" t="s">
        <v>112</v>
      </c>
      <c r="C84" s="1">
        <v>41091</v>
      </c>
      <c r="D84">
        <v>89.3</v>
      </c>
      <c r="E84">
        <v>89</v>
      </c>
      <c r="F84">
        <v>93.9</v>
      </c>
      <c r="G84" t="s">
        <v>30</v>
      </c>
      <c r="H84">
        <v>2.5</v>
      </c>
      <c r="I84">
        <v>2.5</v>
      </c>
      <c r="J84">
        <v>2.5</v>
      </c>
      <c r="K84">
        <v>2.5</v>
      </c>
      <c r="L84">
        <v>65</v>
      </c>
      <c r="P84">
        <v>0.56306306306306286</v>
      </c>
      <c r="Q84">
        <v>7.0743405275779159</v>
      </c>
      <c r="R84">
        <v>2.1814006888633886</v>
      </c>
      <c r="S84">
        <v>6.9711538461538325</v>
      </c>
      <c r="T84">
        <v>0.64308681672027301</v>
      </c>
      <c r="U84">
        <v>0.95101171458998923</v>
      </c>
      <c r="V84">
        <v>0.94781682641107556</v>
      </c>
      <c r="W84">
        <v>0.56306306306306286</v>
      </c>
      <c r="X84">
        <v>7.0743405275779159</v>
      </c>
      <c r="Y84">
        <v>2.1814006888633886</v>
      </c>
      <c r="Z84">
        <v>6.9711538461538325</v>
      </c>
      <c r="AA84">
        <v>0.95101171458998923</v>
      </c>
      <c r="AB84">
        <v>0.94781682641107556</v>
      </c>
      <c r="AC84">
        <v>6.3901594379448312</v>
      </c>
      <c r="AD84" t="str">
        <f>tbl_mart[[#This Row],[boligtype_code]]&amp;"|"&amp;tbl_mart[[#This Row],[quarter]]</f>
        <v>0|2012Q3</v>
      </c>
      <c r="AE84" s="9">
        <f>INT(YEAR(tbl_mart[[#This Row],[quarter_start]])/10)*10</f>
        <v>2010</v>
      </c>
    </row>
    <row r="85" spans="1:31" x14ac:dyDescent="0.2">
      <c r="A85">
        <v>0</v>
      </c>
      <c r="B85" t="s">
        <v>113</v>
      </c>
      <c r="C85" s="1">
        <v>41183</v>
      </c>
      <c r="D85">
        <v>88.7</v>
      </c>
      <c r="E85">
        <v>90.5</v>
      </c>
      <c r="F85">
        <v>93.9</v>
      </c>
      <c r="G85" t="s">
        <v>30</v>
      </c>
      <c r="H85">
        <v>2.5</v>
      </c>
      <c r="I85">
        <v>2.5</v>
      </c>
      <c r="J85">
        <v>2.5</v>
      </c>
      <c r="K85">
        <v>2.5</v>
      </c>
      <c r="L85">
        <v>63</v>
      </c>
      <c r="P85">
        <v>-0.67189249720044364</v>
      </c>
      <c r="Q85">
        <v>6.8674698795180733</v>
      </c>
      <c r="R85">
        <v>1.6853932584269593</v>
      </c>
      <c r="S85">
        <v>6.7216981132075526</v>
      </c>
      <c r="T85">
        <v>0.64308681672027301</v>
      </c>
      <c r="U85">
        <v>0.9446219382321619</v>
      </c>
      <c r="V85">
        <v>0.96379126730564424</v>
      </c>
      <c r="W85">
        <v>-0.67189249720044364</v>
      </c>
      <c r="X85">
        <v>6.8674698795180733</v>
      </c>
      <c r="Y85">
        <v>1.6853932584269593</v>
      </c>
      <c r="Z85">
        <v>6.7216981132075526</v>
      </c>
      <c r="AA85">
        <v>0.9446219382321619</v>
      </c>
      <c r="AB85">
        <v>0.96379126730564424</v>
      </c>
      <c r="AC85">
        <v>6.184610647061084</v>
      </c>
      <c r="AD85" t="str">
        <f>tbl_mart[[#This Row],[boligtype_code]]&amp;"|"&amp;tbl_mart[[#This Row],[quarter]]</f>
        <v>0|2012Q4</v>
      </c>
      <c r="AE85" s="9">
        <f>INT(YEAR(tbl_mart[[#This Row],[quarter_start]])/10)*10</f>
        <v>2010</v>
      </c>
    </row>
    <row r="86" spans="1:31" x14ac:dyDescent="0.2">
      <c r="A86">
        <v>0</v>
      </c>
      <c r="B86" t="s">
        <v>114</v>
      </c>
      <c r="C86" s="1">
        <v>41275</v>
      </c>
      <c r="D86">
        <v>91.4</v>
      </c>
      <c r="E86">
        <v>91.5</v>
      </c>
      <c r="F86">
        <v>95.9</v>
      </c>
      <c r="G86" t="s">
        <v>30</v>
      </c>
      <c r="H86">
        <v>2.5</v>
      </c>
      <c r="I86">
        <v>2.5</v>
      </c>
      <c r="J86">
        <v>2.5</v>
      </c>
      <c r="K86">
        <v>2.5</v>
      </c>
      <c r="L86">
        <v>61</v>
      </c>
      <c r="P86">
        <v>3.0439684329199634</v>
      </c>
      <c r="Q86">
        <v>6.2790697674418583</v>
      </c>
      <c r="R86">
        <v>1.1049723756906049</v>
      </c>
      <c r="S86">
        <v>6.2717770034843356</v>
      </c>
      <c r="T86">
        <v>2.1299254526091493</v>
      </c>
      <c r="U86">
        <v>0.9530761209593327</v>
      </c>
      <c r="V86">
        <v>0.95411887382690297</v>
      </c>
      <c r="W86">
        <v>3.0439684329199634</v>
      </c>
      <c r="X86">
        <v>6.2790697674418583</v>
      </c>
      <c r="Y86">
        <v>1.1049723756906049</v>
      </c>
      <c r="Z86">
        <v>6.2717770034843356</v>
      </c>
      <c r="AA86">
        <v>0.9530761209593327</v>
      </c>
      <c r="AB86">
        <v>0.95411887382690297</v>
      </c>
      <c r="AC86">
        <v>4.0626136721876094</v>
      </c>
      <c r="AD86" t="str">
        <f>tbl_mart[[#This Row],[boligtype_code]]&amp;"|"&amp;tbl_mart[[#This Row],[quarter]]</f>
        <v>0|2013Q1</v>
      </c>
      <c r="AE86" s="9">
        <f>INT(YEAR(tbl_mart[[#This Row],[quarter_start]])/10)*10</f>
        <v>2010</v>
      </c>
    </row>
    <row r="87" spans="1:31" x14ac:dyDescent="0.2">
      <c r="A87">
        <v>0</v>
      </c>
      <c r="B87" t="s">
        <v>115</v>
      </c>
      <c r="C87" s="1">
        <v>41365</v>
      </c>
      <c r="D87">
        <v>93.9</v>
      </c>
      <c r="E87">
        <v>92.1</v>
      </c>
      <c r="F87">
        <v>95.9</v>
      </c>
      <c r="G87" t="s">
        <v>30</v>
      </c>
      <c r="H87">
        <v>2.5</v>
      </c>
      <c r="I87">
        <v>2.5</v>
      </c>
      <c r="J87">
        <v>2.5</v>
      </c>
      <c r="K87">
        <v>2.5</v>
      </c>
      <c r="L87">
        <v>60</v>
      </c>
      <c r="P87">
        <v>2.7352297592997843</v>
      </c>
      <c r="Q87">
        <v>5.7432432432432456</v>
      </c>
      <c r="R87">
        <v>0.65573770491802463</v>
      </c>
      <c r="S87">
        <v>5.7405281285878296</v>
      </c>
      <c r="T87">
        <v>2.1299254526091493</v>
      </c>
      <c r="U87">
        <v>0.97914494264859231</v>
      </c>
      <c r="V87">
        <v>0.96037539103232528</v>
      </c>
      <c r="W87">
        <v>2.7352297592997843</v>
      </c>
      <c r="X87">
        <v>5.7432432432432456</v>
      </c>
      <c r="Y87">
        <v>0.65573770491802463</v>
      </c>
      <c r="Z87">
        <v>5.7405281285878296</v>
      </c>
      <c r="AA87">
        <v>0.97914494264859231</v>
      </c>
      <c r="AB87">
        <v>0.96037539103232528</v>
      </c>
      <c r="AC87">
        <v>3.5379618408815539</v>
      </c>
      <c r="AD87" t="str">
        <f>tbl_mart[[#This Row],[boligtype_code]]&amp;"|"&amp;tbl_mart[[#This Row],[quarter]]</f>
        <v>0|2013Q2</v>
      </c>
      <c r="AE87" s="9">
        <f>INT(YEAR(tbl_mart[[#This Row],[quarter_start]])/10)*10</f>
        <v>2010</v>
      </c>
    </row>
    <row r="88" spans="1:31" x14ac:dyDescent="0.2">
      <c r="A88">
        <v>0</v>
      </c>
      <c r="B88" t="s">
        <v>116</v>
      </c>
      <c r="C88" s="1">
        <v>41456</v>
      </c>
      <c r="D88">
        <v>92.1</v>
      </c>
      <c r="E88">
        <v>91.8</v>
      </c>
      <c r="F88">
        <v>95.9</v>
      </c>
      <c r="G88" t="s">
        <v>30</v>
      </c>
      <c r="H88">
        <v>2.5</v>
      </c>
      <c r="I88">
        <v>2.5</v>
      </c>
      <c r="J88">
        <v>2.5</v>
      </c>
      <c r="K88">
        <v>2.5</v>
      </c>
      <c r="L88">
        <v>66</v>
      </c>
      <c r="P88">
        <v>-1.9169329073482566</v>
      </c>
      <c r="Q88">
        <v>3.1354983202687592</v>
      </c>
      <c r="R88">
        <v>-0.32573289902280145</v>
      </c>
      <c r="S88">
        <v>3.1460674157303359</v>
      </c>
      <c r="T88">
        <v>2.1299254526091493</v>
      </c>
      <c r="U88">
        <v>0.96037539103232528</v>
      </c>
      <c r="V88">
        <v>0.95724713242961412</v>
      </c>
      <c r="W88">
        <v>-1.9169329073482566</v>
      </c>
      <c r="X88">
        <v>3.1354983202687592</v>
      </c>
      <c r="Y88">
        <v>-0.32573289902280145</v>
      </c>
      <c r="Z88">
        <v>3.1460674157303359</v>
      </c>
      <c r="AA88">
        <v>0.96037539103232528</v>
      </c>
      <c r="AB88">
        <v>0.95724713242961412</v>
      </c>
      <c r="AC88">
        <v>0.98460158783353346</v>
      </c>
      <c r="AD88" t="str">
        <f>tbl_mart[[#This Row],[boligtype_code]]&amp;"|"&amp;tbl_mart[[#This Row],[quarter]]</f>
        <v>0|2013Q3</v>
      </c>
      <c r="AE88" s="9">
        <f>INT(YEAR(tbl_mart[[#This Row],[quarter_start]])/10)*10</f>
        <v>2010</v>
      </c>
    </row>
    <row r="89" spans="1:31" x14ac:dyDescent="0.2">
      <c r="A89">
        <v>0</v>
      </c>
      <c r="B89" t="s">
        <v>117</v>
      </c>
      <c r="C89" s="1">
        <v>41548</v>
      </c>
      <c r="D89">
        <v>89.6</v>
      </c>
      <c r="E89">
        <v>91.5</v>
      </c>
      <c r="F89">
        <v>95.9</v>
      </c>
      <c r="G89" t="s">
        <v>30</v>
      </c>
      <c r="H89">
        <v>2.5</v>
      </c>
      <c r="I89">
        <v>2.5</v>
      </c>
      <c r="J89">
        <v>2.5</v>
      </c>
      <c r="K89">
        <v>2.5</v>
      </c>
      <c r="L89">
        <v>63</v>
      </c>
      <c r="P89">
        <v>-2.7144408251900121</v>
      </c>
      <c r="Q89">
        <v>1.0146561443066471</v>
      </c>
      <c r="R89">
        <v>-0.32679738562091387</v>
      </c>
      <c r="S89">
        <v>1.1049723756906049</v>
      </c>
      <c r="T89">
        <v>2.1299254526091493</v>
      </c>
      <c r="U89">
        <v>0.93430656934306555</v>
      </c>
      <c r="V89">
        <v>0.95411887382690297</v>
      </c>
      <c r="W89">
        <v>-2.7144408251900121</v>
      </c>
      <c r="X89">
        <v>1.0146561443066471</v>
      </c>
      <c r="Y89">
        <v>-0.32679738562091387</v>
      </c>
      <c r="Z89">
        <v>1.1049723756906049</v>
      </c>
      <c r="AA89">
        <v>0.93430656934306555</v>
      </c>
      <c r="AB89">
        <v>0.95411887382690297</v>
      </c>
      <c r="AC89">
        <v>-1.0920103029156136</v>
      </c>
      <c r="AD89" t="str">
        <f>tbl_mart[[#This Row],[boligtype_code]]&amp;"|"&amp;tbl_mart[[#This Row],[quarter]]</f>
        <v>0|2013Q4</v>
      </c>
      <c r="AE89" s="9">
        <f>INT(YEAR(tbl_mart[[#This Row],[quarter_start]])/10)*10</f>
        <v>2010</v>
      </c>
    </row>
    <row r="90" spans="1:31" x14ac:dyDescent="0.2">
      <c r="A90">
        <v>0</v>
      </c>
      <c r="B90" t="s">
        <v>118</v>
      </c>
      <c r="C90" s="1">
        <v>41640</v>
      </c>
      <c r="D90">
        <v>91.7</v>
      </c>
      <c r="E90">
        <v>91.8</v>
      </c>
      <c r="F90">
        <v>97.9</v>
      </c>
      <c r="G90" t="s">
        <v>30</v>
      </c>
      <c r="H90">
        <v>2.5</v>
      </c>
      <c r="I90">
        <v>2.5</v>
      </c>
      <c r="J90">
        <v>2.5</v>
      </c>
      <c r="K90">
        <v>2.5</v>
      </c>
      <c r="L90">
        <v>63</v>
      </c>
      <c r="P90">
        <v>2.34375</v>
      </c>
      <c r="Q90">
        <v>0.32822757111596879</v>
      </c>
      <c r="R90">
        <v>0.32786885245901232</v>
      </c>
      <c r="S90">
        <v>0.32786885245901232</v>
      </c>
      <c r="T90">
        <v>2.0855057351407691</v>
      </c>
      <c r="U90">
        <v>0.93667007150153214</v>
      </c>
      <c r="V90">
        <v>0.93769152196118477</v>
      </c>
      <c r="W90">
        <v>2.34375</v>
      </c>
      <c r="X90">
        <v>0.32822757111596879</v>
      </c>
      <c r="Y90">
        <v>0.32786885245901232</v>
      </c>
      <c r="Z90">
        <v>0.32786885245901232</v>
      </c>
      <c r="AA90">
        <v>0.93667007150153214</v>
      </c>
      <c r="AB90">
        <v>0.93769152196118477</v>
      </c>
      <c r="AC90">
        <v>-1.7213787122571933</v>
      </c>
      <c r="AD90" t="str">
        <f>tbl_mart[[#This Row],[boligtype_code]]&amp;"|"&amp;tbl_mart[[#This Row],[quarter]]</f>
        <v>0|2014Q1</v>
      </c>
      <c r="AE90" s="9">
        <f>INT(YEAR(tbl_mart[[#This Row],[quarter_start]])/10)*10</f>
        <v>2010</v>
      </c>
    </row>
    <row r="91" spans="1:31" x14ac:dyDescent="0.2">
      <c r="A91">
        <v>0</v>
      </c>
      <c r="B91" t="s">
        <v>119</v>
      </c>
      <c r="C91" s="1">
        <v>41730</v>
      </c>
      <c r="D91">
        <v>95.2</v>
      </c>
      <c r="E91">
        <v>93.4</v>
      </c>
      <c r="F91">
        <v>97.9</v>
      </c>
      <c r="G91" t="s">
        <v>30</v>
      </c>
      <c r="H91">
        <v>2.5</v>
      </c>
      <c r="I91">
        <v>2.5</v>
      </c>
      <c r="J91">
        <v>2.5</v>
      </c>
      <c r="K91">
        <v>2.5</v>
      </c>
      <c r="L91">
        <v>59</v>
      </c>
      <c r="P91">
        <v>3.8167938931297662</v>
      </c>
      <c r="Q91">
        <v>1.3844515441959526</v>
      </c>
      <c r="R91">
        <v>1.7429193899782147</v>
      </c>
      <c r="S91">
        <v>1.4115092290988285</v>
      </c>
      <c r="T91">
        <v>2.0855057351407691</v>
      </c>
      <c r="U91">
        <v>0.97242083758937692</v>
      </c>
      <c r="V91">
        <v>0.95403472931562816</v>
      </c>
      <c r="W91">
        <v>3.8167938931297662</v>
      </c>
      <c r="X91">
        <v>1.3844515441959526</v>
      </c>
      <c r="Y91">
        <v>1.7429193899782147</v>
      </c>
      <c r="Z91">
        <v>1.4115092290988285</v>
      </c>
      <c r="AA91">
        <v>0.97242083758937692</v>
      </c>
      <c r="AB91">
        <v>0.95403472931562816</v>
      </c>
      <c r="AC91">
        <v>-0.68673234843318331</v>
      </c>
      <c r="AD91" t="str">
        <f>tbl_mart[[#This Row],[boligtype_code]]&amp;"|"&amp;tbl_mart[[#This Row],[quarter]]</f>
        <v>0|2014Q2</v>
      </c>
      <c r="AE91" s="9">
        <f>INT(YEAR(tbl_mart[[#This Row],[quarter_start]])/10)*10</f>
        <v>2010</v>
      </c>
    </row>
    <row r="92" spans="1:31" x14ac:dyDescent="0.2">
      <c r="A92">
        <v>0</v>
      </c>
      <c r="B92" t="s">
        <v>120</v>
      </c>
      <c r="C92" s="1">
        <v>41821</v>
      </c>
      <c r="D92">
        <v>95.3</v>
      </c>
      <c r="E92">
        <v>95</v>
      </c>
      <c r="F92">
        <v>97.9</v>
      </c>
      <c r="G92" t="s">
        <v>30</v>
      </c>
      <c r="H92">
        <v>2.5</v>
      </c>
      <c r="I92">
        <v>2.5</v>
      </c>
      <c r="J92">
        <v>2.5</v>
      </c>
      <c r="K92">
        <v>2.5</v>
      </c>
      <c r="L92">
        <v>66</v>
      </c>
      <c r="P92">
        <v>0.10504201680672232</v>
      </c>
      <c r="Q92">
        <v>3.4744842562432154</v>
      </c>
      <c r="R92">
        <v>1.7130620985010614</v>
      </c>
      <c r="S92">
        <v>3.4858387799564294</v>
      </c>
      <c r="T92">
        <v>2.0855057351407691</v>
      </c>
      <c r="U92">
        <v>0.97344228804902955</v>
      </c>
      <c r="V92">
        <v>0.97037793667007144</v>
      </c>
      <c r="W92">
        <v>0.10504201680672232</v>
      </c>
      <c r="X92">
        <v>3.4744842562432154</v>
      </c>
      <c r="Y92">
        <v>1.7130620985010614</v>
      </c>
      <c r="Z92">
        <v>3.4858387799564294</v>
      </c>
      <c r="AA92">
        <v>0.97344228804902955</v>
      </c>
      <c r="AB92">
        <v>0.97037793667007144</v>
      </c>
      <c r="AC92">
        <v>1.3606030661258872</v>
      </c>
      <c r="AD92" t="str">
        <f>tbl_mart[[#This Row],[boligtype_code]]&amp;"|"&amp;tbl_mart[[#This Row],[quarter]]</f>
        <v>0|2014Q3</v>
      </c>
      <c r="AE92" s="9">
        <f>INT(YEAR(tbl_mart[[#This Row],[quarter_start]])/10)*10</f>
        <v>2010</v>
      </c>
    </row>
    <row r="93" spans="1:31" x14ac:dyDescent="0.2">
      <c r="A93">
        <v>0</v>
      </c>
      <c r="B93" t="s">
        <v>121</v>
      </c>
      <c r="C93" s="1">
        <v>41913</v>
      </c>
      <c r="D93">
        <v>94.8</v>
      </c>
      <c r="E93">
        <v>96.9</v>
      </c>
      <c r="F93">
        <v>97.9</v>
      </c>
      <c r="G93" t="s">
        <v>30</v>
      </c>
      <c r="H93">
        <v>2.4563492063492065</v>
      </c>
      <c r="I93">
        <v>2.25</v>
      </c>
      <c r="J93">
        <v>2.25</v>
      </c>
      <c r="K93">
        <v>2.5</v>
      </c>
      <c r="L93">
        <v>63</v>
      </c>
      <c r="M93">
        <v>1</v>
      </c>
      <c r="N93">
        <v>-0.25</v>
      </c>
      <c r="O93">
        <v>0.25</v>
      </c>
      <c r="P93">
        <v>-0.52465897166841247</v>
      </c>
      <c r="Q93">
        <v>5.8035714285714413</v>
      </c>
      <c r="R93">
        <v>2.0000000000000018</v>
      </c>
      <c r="S93">
        <v>5.9016393442623105</v>
      </c>
      <c r="T93">
        <v>2.0855057351407691</v>
      </c>
      <c r="U93">
        <v>0.96833503575076596</v>
      </c>
      <c r="V93">
        <v>0.98978549540347294</v>
      </c>
      <c r="W93">
        <v>-0.52465897166841247</v>
      </c>
      <c r="X93">
        <v>5.8035714285714413</v>
      </c>
      <c r="Y93">
        <v>2.0000000000000018</v>
      </c>
      <c r="Z93">
        <v>5.9016393442623105</v>
      </c>
      <c r="AA93">
        <v>0.96833503575076596</v>
      </c>
      <c r="AB93">
        <v>0.98978549540347294</v>
      </c>
      <c r="AC93">
        <v>3.6421092951991918</v>
      </c>
      <c r="AD93" t="str">
        <f>tbl_mart[[#This Row],[boligtype_code]]&amp;"|"&amp;tbl_mart[[#This Row],[quarter]]</f>
        <v>0|2014Q4</v>
      </c>
      <c r="AE93" s="9">
        <f>INT(YEAR(tbl_mart[[#This Row],[quarter_start]])/10)*10</f>
        <v>2010</v>
      </c>
    </row>
    <row r="94" spans="1:31" x14ac:dyDescent="0.2">
      <c r="A94">
        <v>0</v>
      </c>
      <c r="B94" t="s">
        <v>122</v>
      </c>
      <c r="C94" s="1">
        <v>42005</v>
      </c>
      <c r="D94">
        <v>98.3</v>
      </c>
      <c r="E94">
        <v>98.4</v>
      </c>
      <c r="F94">
        <v>100</v>
      </c>
      <c r="G94" t="s">
        <v>30</v>
      </c>
      <c r="H94">
        <v>2.25</v>
      </c>
      <c r="I94">
        <v>2.25</v>
      </c>
      <c r="J94">
        <v>2.25</v>
      </c>
      <c r="K94">
        <v>2.25</v>
      </c>
      <c r="L94">
        <v>63</v>
      </c>
      <c r="P94">
        <v>3.6919831223628741</v>
      </c>
      <c r="Q94">
        <v>7.19738276990185</v>
      </c>
      <c r="R94">
        <v>1.5479876160990669</v>
      </c>
      <c r="S94">
        <v>7.1895424836601496</v>
      </c>
      <c r="T94">
        <v>2.1450459652706755</v>
      </c>
      <c r="U94">
        <v>0.98299999999999998</v>
      </c>
      <c r="V94">
        <v>0.9840000000000001</v>
      </c>
      <c r="W94">
        <v>3.6919831223628741</v>
      </c>
      <c r="X94">
        <v>7.19738276990185</v>
      </c>
      <c r="Y94">
        <v>1.5479876160990669</v>
      </c>
      <c r="Z94">
        <v>7.1895424836601496</v>
      </c>
      <c r="AA94">
        <v>0.98299999999999998</v>
      </c>
      <c r="AB94">
        <v>0.9840000000000001</v>
      </c>
      <c r="AC94">
        <v>4.9462377317339268</v>
      </c>
      <c r="AD94" t="str">
        <f>tbl_mart[[#This Row],[boligtype_code]]&amp;"|"&amp;tbl_mart[[#This Row],[quarter]]</f>
        <v>0|2015Q1</v>
      </c>
      <c r="AE94" s="9">
        <f>INT(YEAR(tbl_mart[[#This Row],[quarter_start]])/10)*10</f>
        <v>2010</v>
      </c>
    </row>
    <row r="95" spans="1:31" x14ac:dyDescent="0.2">
      <c r="A95">
        <v>0</v>
      </c>
      <c r="B95" t="s">
        <v>123</v>
      </c>
      <c r="C95" s="1">
        <v>42095</v>
      </c>
      <c r="D95">
        <v>101.5</v>
      </c>
      <c r="E95">
        <v>99.6</v>
      </c>
      <c r="F95">
        <v>100</v>
      </c>
      <c r="G95" t="s">
        <v>30</v>
      </c>
      <c r="H95">
        <v>2.2161016949152543</v>
      </c>
      <c r="I95">
        <v>2</v>
      </c>
      <c r="J95">
        <v>2</v>
      </c>
      <c r="K95">
        <v>2.25</v>
      </c>
      <c r="L95">
        <v>59</v>
      </c>
      <c r="M95">
        <v>1</v>
      </c>
      <c r="N95">
        <v>-0.25</v>
      </c>
      <c r="O95">
        <v>0.25</v>
      </c>
      <c r="P95">
        <v>3.2553407934893253</v>
      </c>
      <c r="Q95">
        <v>6.6176470588235281</v>
      </c>
      <c r="R95">
        <v>1.2195121951219301</v>
      </c>
      <c r="S95">
        <v>6.6381156316916323</v>
      </c>
      <c r="T95">
        <v>2.1450459652706755</v>
      </c>
      <c r="U95">
        <v>1.0149999999999999</v>
      </c>
      <c r="V95">
        <v>0.996</v>
      </c>
      <c r="W95">
        <v>3.2553407934893253</v>
      </c>
      <c r="X95">
        <v>6.6176470588235281</v>
      </c>
      <c r="Y95">
        <v>1.2195121951219301</v>
      </c>
      <c r="Z95">
        <v>6.6381156316916323</v>
      </c>
      <c r="AA95">
        <v>1.0149999999999999</v>
      </c>
      <c r="AB95">
        <v>0.996</v>
      </c>
      <c r="AC95">
        <v>4.3786764705882275</v>
      </c>
      <c r="AD95" t="str">
        <f>tbl_mart[[#This Row],[boligtype_code]]&amp;"|"&amp;tbl_mart[[#This Row],[quarter]]</f>
        <v>0|2015Q2</v>
      </c>
      <c r="AE95" s="9">
        <f>INT(YEAR(tbl_mart[[#This Row],[quarter_start]])/10)*10</f>
        <v>2010</v>
      </c>
    </row>
    <row r="96" spans="1:31" x14ac:dyDescent="0.2">
      <c r="A96">
        <v>0</v>
      </c>
      <c r="B96" t="s">
        <v>124</v>
      </c>
      <c r="C96" s="1">
        <v>42186</v>
      </c>
      <c r="D96">
        <v>101.1</v>
      </c>
      <c r="E96">
        <v>100.7</v>
      </c>
      <c r="F96">
        <v>100</v>
      </c>
      <c r="G96" t="s">
        <v>30</v>
      </c>
      <c r="H96">
        <v>1.9848484848484849</v>
      </c>
      <c r="I96">
        <v>1.75</v>
      </c>
      <c r="J96">
        <v>1.75</v>
      </c>
      <c r="K96">
        <v>2</v>
      </c>
      <c r="L96">
        <v>66</v>
      </c>
      <c r="M96">
        <v>1</v>
      </c>
      <c r="N96">
        <v>-0.25</v>
      </c>
      <c r="O96">
        <v>0.25</v>
      </c>
      <c r="P96">
        <v>-0.39408866995074288</v>
      </c>
      <c r="Q96">
        <v>6.0860440713536246</v>
      </c>
      <c r="R96">
        <v>1.1044176706827447</v>
      </c>
      <c r="S96">
        <v>6.0000000000000053</v>
      </c>
      <c r="T96">
        <v>2.1450459652706755</v>
      </c>
      <c r="U96">
        <v>1.0109999999999999</v>
      </c>
      <c r="V96">
        <v>1.0070000000000001</v>
      </c>
      <c r="W96">
        <v>-0.39408866995074288</v>
      </c>
      <c r="X96">
        <v>6.0860440713536246</v>
      </c>
      <c r="Y96">
        <v>1.1044176706827447</v>
      </c>
      <c r="Z96">
        <v>6.0000000000000053</v>
      </c>
      <c r="AA96">
        <v>1.0109999999999999</v>
      </c>
      <c r="AB96">
        <v>1.0070000000000001</v>
      </c>
      <c r="AC96">
        <v>3.8582371458551812</v>
      </c>
      <c r="AD96" t="str">
        <f>tbl_mart[[#This Row],[boligtype_code]]&amp;"|"&amp;tbl_mart[[#This Row],[quarter]]</f>
        <v>0|2015Q3</v>
      </c>
      <c r="AE96" s="9">
        <f>INT(YEAR(tbl_mart[[#This Row],[quarter_start]])/10)*10</f>
        <v>2010</v>
      </c>
    </row>
    <row r="97" spans="1:31" x14ac:dyDescent="0.2">
      <c r="A97">
        <v>0</v>
      </c>
      <c r="B97" t="s">
        <v>125</v>
      </c>
      <c r="C97" s="1">
        <v>42278</v>
      </c>
      <c r="D97">
        <v>99.1</v>
      </c>
      <c r="E97">
        <v>101.3</v>
      </c>
      <c r="F97">
        <v>100</v>
      </c>
      <c r="G97" t="s">
        <v>30</v>
      </c>
      <c r="H97">
        <v>1.75</v>
      </c>
      <c r="I97">
        <v>1.75</v>
      </c>
      <c r="J97">
        <v>1.75</v>
      </c>
      <c r="K97">
        <v>1.75</v>
      </c>
      <c r="L97">
        <v>64</v>
      </c>
      <c r="P97">
        <v>-1.978239366963408</v>
      </c>
      <c r="Q97">
        <v>4.5358649789029482</v>
      </c>
      <c r="R97">
        <v>0.59582919563057057</v>
      </c>
      <c r="S97">
        <v>4.5407636738906021</v>
      </c>
      <c r="T97">
        <v>2.1450459652706755</v>
      </c>
      <c r="U97">
        <v>0.99099999999999999</v>
      </c>
      <c r="V97">
        <v>1.0129999999999999</v>
      </c>
      <c r="W97">
        <v>-1.978239366963408</v>
      </c>
      <c r="X97">
        <v>4.5358649789029482</v>
      </c>
      <c r="Y97">
        <v>0.59582919563057057</v>
      </c>
      <c r="Z97">
        <v>4.5407636738906021</v>
      </c>
      <c r="AA97">
        <v>0.99099999999999999</v>
      </c>
      <c r="AB97">
        <v>1.0129999999999999</v>
      </c>
      <c r="AC97">
        <v>2.3406118143459942</v>
      </c>
      <c r="AD97" t="str">
        <f>tbl_mart[[#This Row],[boligtype_code]]&amp;"|"&amp;tbl_mart[[#This Row],[quarter]]</f>
        <v>0|2015Q4</v>
      </c>
      <c r="AE97" s="9">
        <f>INT(YEAR(tbl_mart[[#This Row],[quarter_start]])/10)*10</f>
        <v>2010</v>
      </c>
    </row>
    <row r="98" spans="1:31" x14ac:dyDescent="0.2">
      <c r="A98">
        <v>0</v>
      </c>
      <c r="B98" t="s">
        <v>126</v>
      </c>
      <c r="C98" s="1">
        <v>42370</v>
      </c>
      <c r="D98">
        <v>102.8</v>
      </c>
      <c r="E98">
        <v>102.9</v>
      </c>
      <c r="F98">
        <v>103.6</v>
      </c>
      <c r="G98" t="s">
        <v>30</v>
      </c>
      <c r="H98">
        <v>1.721311475409836</v>
      </c>
      <c r="I98">
        <v>1.5</v>
      </c>
      <c r="J98">
        <v>1.5</v>
      </c>
      <c r="K98">
        <v>1.75</v>
      </c>
      <c r="L98">
        <v>61</v>
      </c>
      <c r="M98">
        <v>1</v>
      </c>
      <c r="N98">
        <v>-0.25</v>
      </c>
      <c r="O98">
        <v>0.25</v>
      </c>
      <c r="P98">
        <v>3.7336024217961672</v>
      </c>
      <c r="Q98">
        <v>4.5778229908443491</v>
      </c>
      <c r="R98">
        <v>1.5794669299111552</v>
      </c>
      <c r="S98">
        <v>4.57317073170731</v>
      </c>
      <c r="T98">
        <v>3.6000000000000032</v>
      </c>
      <c r="U98">
        <v>0.99227799227799229</v>
      </c>
      <c r="V98">
        <v>0.99324324324324331</v>
      </c>
      <c r="W98">
        <v>3.7336024217961672</v>
      </c>
      <c r="X98">
        <v>4.5778229908443491</v>
      </c>
      <c r="Y98">
        <v>1.5794669299111552</v>
      </c>
      <c r="Z98">
        <v>4.57317073170731</v>
      </c>
      <c r="AA98">
        <v>0.99227799227799229</v>
      </c>
      <c r="AB98">
        <v>0.99324324324324331</v>
      </c>
      <c r="AC98">
        <v>0.94384458575709207</v>
      </c>
      <c r="AD98" t="str">
        <f>tbl_mart[[#This Row],[boligtype_code]]&amp;"|"&amp;tbl_mart[[#This Row],[quarter]]</f>
        <v>0|2016Q1</v>
      </c>
      <c r="AE98" s="9">
        <f>INT(YEAR(tbl_mart[[#This Row],[quarter_start]])/10)*10</f>
        <v>2010</v>
      </c>
    </row>
    <row r="99" spans="1:31" x14ac:dyDescent="0.2">
      <c r="A99">
        <v>0</v>
      </c>
      <c r="B99" t="s">
        <v>127</v>
      </c>
      <c r="C99" s="1">
        <v>42461</v>
      </c>
      <c r="D99">
        <v>107.1</v>
      </c>
      <c r="E99">
        <v>105.1</v>
      </c>
      <c r="F99">
        <v>103.6</v>
      </c>
      <c r="G99" t="s">
        <v>30</v>
      </c>
      <c r="H99">
        <v>1.5</v>
      </c>
      <c r="I99">
        <v>1.5</v>
      </c>
      <c r="J99">
        <v>1.5</v>
      </c>
      <c r="K99">
        <v>1.5</v>
      </c>
      <c r="L99">
        <v>62</v>
      </c>
      <c r="P99">
        <v>4.182879377431914</v>
      </c>
      <c r="Q99">
        <v>5.5172413793103336</v>
      </c>
      <c r="R99">
        <v>2.1379980563653866</v>
      </c>
      <c r="S99">
        <v>5.5220883534136567</v>
      </c>
      <c r="T99">
        <v>3.6000000000000032</v>
      </c>
      <c r="U99">
        <v>1.0337837837837838</v>
      </c>
      <c r="V99">
        <v>1.0144787644787645</v>
      </c>
      <c r="W99">
        <v>4.182879377431914</v>
      </c>
      <c r="X99">
        <v>5.5172413793103336</v>
      </c>
      <c r="Y99">
        <v>2.1379980563653866</v>
      </c>
      <c r="Z99">
        <v>5.5220883534136567</v>
      </c>
      <c r="AA99">
        <v>1.0337837837837838</v>
      </c>
      <c r="AB99">
        <v>1.0144787644787645</v>
      </c>
      <c r="AC99">
        <v>1.8506190919984178</v>
      </c>
      <c r="AD99" t="str">
        <f>tbl_mart[[#This Row],[boligtype_code]]&amp;"|"&amp;tbl_mart[[#This Row],[quarter]]</f>
        <v>0|2016Q2</v>
      </c>
      <c r="AE99" s="9">
        <f>INT(YEAR(tbl_mart[[#This Row],[quarter_start]])/10)*10</f>
        <v>2010</v>
      </c>
    </row>
    <row r="100" spans="1:31" x14ac:dyDescent="0.2">
      <c r="A100">
        <v>0</v>
      </c>
      <c r="B100" t="s">
        <v>128</v>
      </c>
      <c r="C100" s="1">
        <v>42552</v>
      </c>
      <c r="D100">
        <v>109.1</v>
      </c>
      <c r="E100">
        <v>108.7</v>
      </c>
      <c r="F100">
        <v>103.6</v>
      </c>
      <c r="G100" t="s">
        <v>30</v>
      </c>
      <c r="H100">
        <v>1.5</v>
      </c>
      <c r="I100">
        <v>1.5</v>
      </c>
      <c r="J100">
        <v>1.5</v>
      </c>
      <c r="K100">
        <v>1.5</v>
      </c>
      <c r="L100">
        <v>66</v>
      </c>
      <c r="P100">
        <v>1.8674136321195078</v>
      </c>
      <c r="Q100">
        <v>7.9129574678536096</v>
      </c>
      <c r="R100">
        <v>3.4253092293054399</v>
      </c>
      <c r="S100">
        <v>7.9443892750744816</v>
      </c>
      <c r="T100">
        <v>3.6000000000000032</v>
      </c>
      <c r="U100">
        <v>1.053088803088803</v>
      </c>
      <c r="V100">
        <v>1.0492277992277994</v>
      </c>
      <c r="W100">
        <v>1.8674136321195078</v>
      </c>
      <c r="X100">
        <v>7.9129574678536096</v>
      </c>
      <c r="Y100">
        <v>3.4253092293054399</v>
      </c>
      <c r="Z100">
        <v>7.9443892750744816</v>
      </c>
      <c r="AA100">
        <v>1.053088803088803</v>
      </c>
      <c r="AB100">
        <v>1.0492277992277994</v>
      </c>
      <c r="AC100">
        <v>4.1630863589320555</v>
      </c>
      <c r="AD100" t="str">
        <f>tbl_mart[[#This Row],[boligtype_code]]&amp;"|"&amp;tbl_mart[[#This Row],[quarter]]</f>
        <v>0|2016Q3</v>
      </c>
      <c r="AE100" s="9">
        <f>INT(YEAR(tbl_mart[[#This Row],[quarter_start]])/10)*10</f>
        <v>2010</v>
      </c>
    </row>
    <row r="101" spans="1:31" x14ac:dyDescent="0.2">
      <c r="A101">
        <v>0</v>
      </c>
      <c r="B101" t="s">
        <v>129</v>
      </c>
      <c r="C101" s="1">
        <v>42644</v>
      </c>
      <c r="D101">
        <v>109.1</v>
      </c>
      <c r="E101">
        <v>111.6</v>
      </c>
      <c r="F101">
        <v>103.6</v>
      </c>
      <c r="G101" t="s">
        <v>30</v>
      </c>
      <c r="H101">
        <v>1.5</v>
      </c>
      <c r="I101">
        <v>1.5</v>
      </c>
      <c r="J101">
        <v>1.5</v>
      </c>
      <c r="K101">
        <v>1.5</v>
      </c>
      <c r="L101">
        <v>64</v>
      </c>
      <c r="P101">
        <v>0</v>
      </c>
      <c r="Q101">
        <v>10.09081735620585</v>
      </c>
      <c r="R101">
        <v>2.6678932842686187</v>
      </c>
      <c r="S101">
        <v>10.167818361303048</v>
      </c>
      <c r="T101">
        <v>3.6000000000000032</v>
      </c>
      <c r="U101">
        <v>1.053088803088803</v>
      </c>
      <c r="V101">
        <v>1.0772200772200773</v>
      </c>
      <c r="W101">
        <v>0</v>
      </c>
      <c r="X101">
        <v>10.09081735620585</v>
      </c>
      <c r="Y101">
        <v>2.6678932842686187</v>
      </c>
      <c r="Z101">
        <v>10.167818361303048</v>
      </c>
      <c r="AA101">
        <v>1.053088803088803</v>
      </c>
      <c r="AB101">
        <v>1.0772200772200773</v>
      </c>
      <c r="AC101">
        <v>6.2652677183454131</v>
      </c>
      <c r="AD101" t="str">
        <f>tbl_mart[[#This Row],[boligtype_code]]&amp;"|"&amp;tbl_mart[[#This Row],[quarter]]</f>
        <v>0|2016Q4</v>
      </c>
      <c r="AE101" s="9">
        <f>INT(YEAR(tbl_mart[[#This Row],[quarter_start]])/10)*10</f>
        <v>2010</v>
      </c>
    </row>
    <row r="102" spans="1:31" x14ac:dyDescent="0.2">
      <c r="A102">
        <v>0</v>
      </c>
      <c r="B102" t="s">
        <v>130</v>
      </c>
      <c r="C102" s="1">
        <v>42736</v>
      </c>
      <c r="D102">
        <v>113.2</v>
      </c>
      <c r="E102">
        <v>113.3</v>
      </c>
      <c r="F102">
        <v>105.5</v>
      </c>
      <c r="G102" t="s">
        <v>30</v>
      </c>
      <c r="H102">
        <v>1.5</v>
      </c>
      <c r="I102">
        <v>1.5</v>
      </c>
      <c r="J102">
        <v>1.5</v>
      </c>
      <c r="K102">
        <v>1.5</v>
      </c>
      <c r="L102">
        <v>65</v>
      </c>
      <c r="P102">
        <v>3.7580201649862532</v>
      </c>
      <c r="Q102">
        <v>10.116731517509736</v>
      </c>
      <c r="R102">
        <v>1.5232974910394326</v>
      </c>
      <c r="S102">
        <v>10.106899902818256</v>
      </c>
      <c r="T102">
        <v>1.8339768339768359</v>
      </c>
      <c r="U102">
        <v>1.0729857819905213</v>
      </c>
      <c r="V102">
        <v>1.0739336492890994</v>
      </c>
      <c r="W102">
        <v>3.7580201649862532</v>
      </c>
      <c r="X102">
        <v>10.116731517509736</v>
      </c>
      <c r="Y102">
        <v>1.5232974910394326</v>
      </c>
      <c r="Z102">
        <v>10.106899902818256</v>
      </c>
      <c r="AA102">
        <v>1.0729857819905213</v>
      </c>
      <c r="AB102">
        <v>1.0739336492890994</v>
      </c>
      <c r="AC102">
        <v>8.1335865897062209</v>
      </c>
      <c r="AD102" t="str">
        <f>tbl_mart[[#This Row],[boligtype_code]]&amp;"|"&amp;tbl_mart[[#This Row],[quarter]]</f>
        <v>0|2017Q1</v>
      </c>
      <c r="AE102" s="9">
        <f>INT(YEAR(tbl_mart[[#This Row],[quarter_start]])/10)*10</f>
        <v>2010</v>
      </c>
    </row>
    <row r="103" spans="1:31" x14ac:dyDescent="0.2">
      <c r="A103">
        <v>0</v>
      </c>
      <c r="B103" t="s">
        <v>131</v>
      </c>
      <c r="C103" s="1">
        <v>42826</v>
      </c>
      <c r="D103">
        <v>114.5</v>
      </c>
      <c r="E103">
        <v>112.4</v>
      </c>
      <c r="F103">
        <v>105.5</v>
      </c>
      <c r="G103" t="s">
        <v>30</v>
      </c>
      <c r="H103">
        <v>1.5</v>
      </c>
      <c r="I103">
        <v>1.5</v>
      </c>
      <c r="J103">
        <v>1.5</v>
      </c>
      <c r="K103">
        <v>1.5</v>
      </c>
      <c r="L103">
        <v>58</v>
      </c>
      <c r="P103">
        <v>1.148409893992941</v>
      </c>
      <c r="Q103">
        <v>6.9094304388422012</v>
      </c>
      <c r="R103">
        <v>-0.79435127978816356</v>
      </c>
      <c r="S103">
        <v>6.9457659372026859</v>
      </c>
      <c r="T103">
        <v>1.8339768339768359</v>
      </c>
      <c r="U103">
        <v>1.0853080568720379</v>
      </c>
      <c r="V103">
        <v>1.0654028436018959</v>
      </c>
      <c r="W103">
        <v>1.148409893992941</v>
      </c>
      <c r="X103">
        <v>6.9094304388422012</v>
      </c>
      <c r="Y103">
        <v>-0.79435127978816356</v>
      </c>
      <c r="Z103">
        <v>6.9457659372026859</v>
      </c>
      <c r="AA103">
        <v>1.0853080568720379</v>
      </c>
      <c r="AB103">
        <v>1.0654028436018959</v>
      </c>
      <c r="AC103">
        <v>4.984047331412822</v>
      </c>
      <c r="AD103" t="str">
        <f>tbl_mart[[#This Row],[boligtype_code]]&amp;"|"&amp;tbl_mart[[#This Row],[quarter]]</f>
        <v>0|2017Q2</v>
      </c>
      <c r="AE103" s="9">
        <f>INT(YEAR(tbl_mart[[#This Row],[quarter_start]])/10)*10</f>
        <v>2010</v>
      </c>
    </row>
    <row r="104" spans="1:31" x14ac:dyDescent="0.2">
      <c r="A104">
        <v>0</v>
      </c>
      <c r="B104" t="s">
        <v>132</v>
      </c>
      <c r="C104" s="1">
        <v>42917</v>
      </c>
      <c r="D104">
        <v>111.8</v>
      </c>
      <c r="E104">
        <v>111.4</v>
      </c>
      <c r="F104">
        <v>105.5</v>
      </c>
      <c r="G104" t="s">
        <v>30</v>
      </c>
      <c r="H104">
        <v>1.5</v>
      </c>
      <c r="I104">
        <v>1.5</v>
      </c>
      <c r="J104">
        <v>1.5</v>
      </c>
      <c r="K104">
        <v>1.5</v>
      </c>
      <c r="L104">
        <v>65</v>
      </c>
      <c r="P104">
        <v>-2.3580786026200951</v>
      </c>
      <c r="Q104">
        <v>2.4747937671860676</v>
      </c>
      <c r="R104">
        <v>-0.88967971530249379</v>
      </c>
      <c r="S104">
        <v>2.483900643974235</v>
      </c>
      <c r="T104">
        <v>1.8339768339768359</v>
      </c>
      <c r="U104">
        <v>1.0597156398104266</v>
      </c>
      <c r="V104">
        <v>1.0559241706161138</v>
      </c>
      <c r="W104">
        <v>-2.3580786026200951</v>
      </c>
      <c r="X104">
        <v>2.4747937671860676</v>
      </c>
      <c r="Y104">
        <v>-0.88967971530249379</v>
      </c>
      <c r="Z104">
        <v>2.483900643974235</v>
      </c>
      <c r="AA104">
        <v>1.0597156398104266</v>
      </c>
      <c r="AB104">
        <v>1.0559241706161138</v>
      </c>
      <c r="AC104">
        <v>0.62927615431731532</v>
      </c>
      <c r="AD104" t="str">
        <f>tbl_mart[[#This Row],[boligtype_code]]&amp;"|"&amp;tbl_mart[[#This Row],[quarter]]</f>
        <v>0|2017Q3</v>
      </c>
      <c r="AE104" s="9">
        <f>INT(YEAR(tbl_mart[[#This Row],[quarter_start]])/10)*10</f>
        <v>2010</v>
      </c>
    </row>
    <row r="105" spans="1:31" x14ac:dyDescent="0.2">
      <c r="A105">
        <v>0</v>
      </c>
      <c r="B105" t="s">
        <v>133</v>
      </c>
      <c r="C105" s="1">
        <v>43009</v>
      </c>
      <c r="D105">
        <v>109.9</v>
      </c>
      <c r="E105">
        <v>112.4</v>
      </c>
      <c r="F105">
        <v>105.5</v>
      </c>
      <c r="G105" t="s">
        <v>30</v>
      </c>
      <c r="H105">
        <v>1.5</v>
      </c>
      <c r="I105">
        <v>1.5</v>
      </c>
      <c r="J105">
        <v>1.5</v>
      </c>
      <c r="K105">
        <v>1.5</v>
      </c>
      <c r="L105">
        <v>63</v>
      </c>
      <c r="P105">
        <v>-1.6994633273702986</v>
      </c>
      <c r="Q105">
        <v>0.73327222731440767</v>
      </c>
      <c r="R105">
        <v>0.89766606822261341</v>
      </c>
      <c r="S105">
        <v>0.71684587813620748</v>
      </c>
      <c r="T105">
        <v>1.8339768339768359</v>
      </c>
      <c r="U105">
        <v>1.0417061611374407</v>
      </c>
      <c r="V105">
        <v>1.0654028436018959</v>
      </c>
      <c r="W105">
        <v>-1.6994633273702986</v>
      </c>
      <c r="X105">
        <v>0.73327222731440767</v>
      </c>
      <c r="Y105">
        <v>0.89766606822261341</v>
      </c>
      <c r="Z105">
        <v>0.71684587813620748</v>
      </c>
      <c r="AA105">
        <v>1.0417061611374407</v>
      </c>
      <c r="AB105">
        <v>1.0654028436018959</v>
      </c>
      <c r="AC105">
        <v>-1.0808814905234998</v>
      </c>
      <c r="AD105" t="str">
        <f>tbl_mart[[#This Row],[boligtype_code]]&amp;"|"&amp;tbl_mart[[#This Row],[quarter]]</f>
        <v>0|2017Q4</v>
      </c>
      <c r="AE105" s="9">
        <f>INT(YEAR(tbl_mart[[#This Row],[quarter_start]])/10)*10</f>
        <v>2010</v>
      </c>
    </row>
    <row r="106" spans="1:31" x14ac:dyDescent="0.2">
      <c r="A106">
        <v>0</v>
      </c>
      <c r="B106" t="s">
        <v>134</v>
      </c>
      <c r="C106" s="1">
        <v>43101</v>
      </c>
      <c r="D106">
        <v>112</v>
      </c>
      <c r="E106">
        <v>112.1</v>
      </c>
      <c r="F106">
        <v>108.4</v>
      </c>
      <c r="G106" t="s">
        <v>30</v>
      </c>
      <c r="H106">
        <v>1.5</v>
      </c>
      <c r="I106">
        <v>1.5</v>
      </c>
      <c r="J106">
        <v>1.5</v>
      </c>
      <c r="K106">
        <v>1.5</v>
      </c>
      <c r="L106">
        <v>62</v>
      </c>
      <c r="P106">
        <v>1.9108280254777066</v>
      </c>
      <c r="Q106">
        <v>-1.0600706713780994</v>
      </c>
      <c r="R106">
        <v>-0.2669039145907548</v>
      </c>
      <c r="S106">
        <v>-1.0591350397175625</v>
      </c>
      <c r="T106">
        <v>2.7488151658767723</v>
      </c>
      <c r="U106">
        <v>1.033210332103321</v>
      </c>
      <c r="V106">
        <v>1.0341328413284132</v>
      </c>
      <c r="W106">
        <v>1.9108280254777066</v>
      </c>
      <c r="X106">
        <v>-1.0600706713780994</v>
      </c>
      <c r="Y106">
        <v>-0.2669039145907548</v>
      </c>
      <c r="Z106">
        <v>-1.0591350397175625</v>
      </c>
      <c r="AA106">
        <v>1.033210332103321</v>
      </c>
      <c r="AB106">
        <v>1.0341328413284132</v>
      </c>
      <c r="AC106">
        <v>-3.7069875999113377</v>
      </c>
      <c r="AD106" t="str">
        <f>tbl_mart[[#This Row],[boligtype_code]]&amp;"|"&amp;tbl_mart[[#This Row],[quarter]]</f>
        <v>0|2018Q1</v>
      </c>
      <c r="AE106" s="9">
        <f>INT(YEAR(tbl_mart[[#This Row],[quarter_start]])/10)*10</f>
        <v>2010</v>
      </c>
    </row>
    <row r="107" spans="1:31" x14ac:dyDescent="0.2">
      <c r="A107">
        <v>0</v>
      </c>
      <c r="B107" t="s">
        <v>135</v>
      </c>
      <c r="C107" s="1">
        <v>43191</v>
      </c>
      <c r="D107">
        <v>116.4</v>
      </c>
      <c r="E107">
        <v>114.2</v>
      </c>
      <c r="F107">
        <v>108.4</v>
      </c>
      <c r="G107" t="s">
        <v>30</v>
      </c>
      <c r="H107">
        <v>1.5</v>
      </c>
      <c r="I107">
        <v>1.5</v>
      </c>
      <c r="J107">
        <v>1.5</v>
      </c>
      <c r="K107">
        <v>1.5</v>
      </c>
      <c r="L107">
        <v>60</v>
      </c>
      <c r="P107">
        <v>3.9285714285714368</v>
      </c>
      <c r="Q107">
        <v>1.6593886462882068</v>
      </c>
      <c r="R107">
        <v>1.873327386262269</v>
      </c>
      <c r="S107">
        <v>1.6014234875444844</v>
      </c>
      <c r="T107">
        <v>2.7488151658767723</v>
      </c>
      <c r="U107">
        <v>1.07380073800738</v>
      </c>
      <c r="V107">
        <v>1.0535055350553506</v>
      </c>
      <c r="W107">
        <v>3.9285714285714368</v>
      </c>
      <c r="X107">
        <v>1.6593886462882068</v>
      </c>
      <c r="Y107">
        <v>1.873327386262269</v>
      </c>
      <c r="Z107">
        <v>1.6014234875444844</v>
      </c>
      <c r="AA107">
        <v>1.07380073800738</v>
      </c>
      <c r="AB107">
        <v>1.0535055350553506</v>
      </c>
      <c r="AC107">
        <v>-1.0602813451715432</v>
      </c>
      <c r="AD107" t="str">
        <f>tbl_mart[[#This Row],[boligtype_code]]&amp;"|"&amp;tbl_mart[[#This Row],[quarter]]</f>
        <v>0|2018Q2</v>
      </c>
      <c r="AE107" s="9">
        <f>INT(YEAR(tbl_mart[[#This Row],[quarter_start]])/10)*10</f>
        <v>2010</v>
      </c>
    </row>
    <row r="108" spans="1:31" x14ac:dyDescent="0.2">
      <c r="A108">
        <v>0</v>
      </c>
      <c r="B108" t="s">
        <v>136</v>
      </c>
      <c r="C108" s="1">
        <v>43282</v>
      </c>
      <c r="D108">
        <v>115.1</v>
      </c>
      <c r="E108">
        <v>114.6</v>
      </c>
      <c r="F108">
        <v>108.4</v>
      </c>
      <c r="G108" t="s">
        <v>30</v>
      </c>
      <c r="H108">
        <v>1.523076923076923</v>
      </c>
      <c r="I108">
        <v>1.75</v>
      </c>
      <c r="J108">
        <v>1.5</v>
      </c>
      <c r="K108">
        <v>1.75</v>
      </c>
      <c r="L108">
        <v>65</v>
      </c>
      <c r="M108">
        <v>1</v>
      </c>
      <c r="N108">
        <v>0.25</v>
      </c>
      <c r="O108">
        <v>0.25</v>
      </c>
      <c r="P108">
        <v>-1.1168384879725157</v>
      </c>
      <c r="Q108">
        <v>2.9516994633273619</v>
      </c>
      <c r="R108">
        <v>0.35026269702276291</v>
      </c>
      <c r="S108">
        <v>2.8725314183123851</v>
      </c>
      <c r="T108">
        <v>2.7488151658767723</v>
      </c>
      <c r="U108">
        <v>1.0618081180811807</v>
      </c>
      <c r="V108">
        <v>1.0571955719557196</v>
      </c>
      <c r="W108">
        <v>-1.1168384879725157</v>
      </c>
      <c r="X108">
        <v>2.9516994633273619</v>
      </c>
      <c r="Y108">
        <v>0.35026269702276291</v>
      </c>
      <c r="Z108">
        <v>2.8725314183123851</v>
      </c>
      <c r="AA108">
        <v>1.0618081180811807</v>
      </c>
      <c r="AB108">
        <v>1.0571955719557196</v>
      </c>
      <c r="AC108">
        <v>0.1974565810058726</v>
      </c>
      <c r="AD108" t="str">
        <f>tbl_mart[[#This Row],[boligtype_code]]&amp;"|"&amp;tbl_mart[[#This Row],[quarter]]</f>
        <v>0|2018Q3</v>
      </c>
      <c r="AE108" s="9">
        <f>INT(YEAR(tbl_mart[[#This Row],[quarter_start]])/10)*10</f>
        <v>2010</v>
      </c>
    </row>
    <row r="109" spans="1:31" x14ac:dyDescent="0.2">
      <c r="A109">
        <v>0</v>
      </c>
      <c r="B109" t="s">
        <v>137</v>
      </c>
      <c r="C109" s="1">
        <v>43374</v>
      </c>
      <c r="D109">
        <v>112.4</v>
      </c>
      <c r="E109">
        <v>115</v>
      </c>
      <c r="F109">
        <v>108.4</v>
      </c>
      <c r="G109" t="s">
        <v>30</v>
      </c>
      <c r="H109">
        <v>1.75</v>
      </c>
      <c r="I109">
        <v>1.75</v>
      </c>
      <c r="J109">
        <v>1.75</v>
      </c>
      <c r="K109">
        <v>1.75</v>
      </c>
      <c r="L109">
        <v>63</v>
      </c>
      <c r="P109">
        <v>-2.3457862728062495</v>
      </c>
      <c r="Q109">
        <v>2.2747952684258443</v>
      </c>
      <c r="R109">
        <v>0.34904013961605251</v>
      </c>
      <c r="S109">
        <v>2.313167259786475</v>
      </c>
      <c r="T109">
        <v>2.7488151658767723</v>
      </c>
      <c r="U109">
        <v>1.03690036900369</v>
      </c>
      <c r="V109">
        <v>1.0608856088560885</v>
      </c>
      <c r="W109">
        <v>-2.3457862728062495</v>
      </c>
      <c r="X109">
        <v>2.2747952684258443</v>
      </c>
      <c r="Y109">
        <v>0.34904013961605251</v>
      </c>
      <c r="Z109">
        <v>2.313167259786475</v>
      </c>
      <c r="AA109">
        <v>1.03690036900369</v>
      </c>
      <c r="AB109">
        <v>1.0608856088560885</v>
      </c>
      <c r="AC109">
        <v>-0.46133855333094775</v>
      </c>
      <c r="AD109" t="str">
        <f>tbl_mart[[#This Row],[boligtype_code]]&amp;"|"&amp;tbl_mart[[#This Row],[quarter]]</f>
        <v>0|2018Q4</v>
      </c>
      <c r="AE109" s="9">
        <f>INT(YEAR(tbl_mart[[#This Row],[quarter_start]])/10)*10</f>
        <v>2010</v>
      </c>
    </row>
    <row r="110" spans="1:31" x14ac:dyDescent="0.2">
      <c r="A110">
        <v>0</v>
      </c>
      <c r="B110" t="s">
        <v>138</v>
      </c>
      <c r="C110" s="1">
        <v>43466</v>
      </c>
      <c r="D110">
        <v>115.4</v>
      </c>
      <c r="E110">
        <v>115.6</v>
      </c>
      <c r="F110">
        <v>110.8</v>
      </c>
      <c r="G110" t="s">
        <v>30</v>
      </c>
      <c r="H110">
        <v>1.7738095238095237</v>
      </c>
      <c r="I110">
        <v>2</v>
      </c>
      <c r="J110">
        <v>1.75</v>
      </c>
      <c r="K110">
        <v>2</v>
      </c>
      <c r="L110">
        <v>63</v>
      </c>
      <c r="M110">
        <v>1</v>
      </c>
      <c r="N110">
        <v>0.25</v>
      </c>
      <c r="O110">
        <v>0.25</v>
      </c>
      <c r="P110">
        <v>2.6690391459074814</v>
      </c>
      <c r="Q110">
        <v>3.0357142857142971</v>
      </c>
      <c r="R110">
        <v>0.52173913043478404</v>
      </c>
      <c r="S110">
        <v>3.1222123104371002</v>
      </c>
      <c r="T110">
        <v>2.2140221402213944</v>
      </c>
      <c r="U110">
        <v>1.0415162454873648</v>
      </c>
      <c r="V110">
        <v>1.0433212996389891</v>
      </c>
      <c r="W110">
        <v>2.6690391459074814</v>
      </c>
      <c r="X110">
        <v>3.0357142857142971</v>
      </c>
      <c r="Y110">
        <v>0.52173913043478404</v>
      </c>
      <c r="Z110">
        <v>3.1222123104371002</v>
      </c>
      <c r="AA110">
        <v>1.0415162454873648</v>
      </c>
      <c r="AB110">
        <v>1.0433212996389891</v>
      </c>
      <c r="AC110">
        <v>0.80389375966993804</v>
      </c>
      <c r="AD110" t="str">
        <f>tbl_mart[[#This Row],[boligtype_code]]&amp;"|"&amp;tbl_mart[[#This Row],[quarter]]</f>
        <v>0|2019Q1</v>
      </c>
      <c r="AE110" s="9">
        <f>INT(YEAR(tbl_mart[[#This Row],[quarter_start]])/10)*10</f>
        <v>2010</v>
      </c>
    </row>
    <row r="111" spans="1:31" x14ac:dyDescent="0.2">
      <c r="A111">
        <v>0</v>
      </c>
      <c r="B111" t="s">
        <v>139</v>
      </c>
      <c r="C111" s="1">
        <v>43556</v>
      </c>
      <c r="D111">
        <v>118.7</v>
      </c>
      <c r="E111">
        <v>116.3</v>
      </c>
      <c r="F111">
        <v>110.8</v>
      </c>
      <c r="G111" t="s">
        <v>30</v>
      </c>
      <c r="H111">
        <v>2.0258620689655173</v>
      </c>
      <c r="I111">
        <v>2.25</v>
      </c>
      <c r="J111">
        <v>2</v>
      </c>
      <c r="K111">
        <v>2.25</v>
      </c>
      <c r="L111">
        <v>58</v>
      </c>
      <c r="M111">
        <v>1</v>
      </c>
      <c r="N111">
        <v>0.25</v>
      </c>
      <c r="O111">
        <v>0.25</v>
      </c>
      <c r="P111">
        <v>2.8596187175043308</v>
      </c>
      <c r="Q111">
        <v>1.9759450171821236</v>
      </c>
      <c r="R111">
        <v>0.60553633217992342</v>
      </c>
      <c r="S111">
        <v>1.8388791593695331</v>
      </c>
      <c r="T111">
        <v>2.2140221402213944</v>
      </c>
      <c r="U111">
        <v>1.0712996389891698</v>
      </c>
      <c r="V111">
        <v>1.0496389891696751</v>
      </c>
      <c r="W111">
        <v>2.8596187175043308</v>
      </c>
      <c r="X111">
        <v>1.9759450171821236</v>
      </c>
      <c r="Y111">
        <v>0.60553633217992342</v>
      </c>
      <c r="Z111">
        <v>1.8388791593695331</v>
      </c>
      <c r="AA111">
        <v>1.0712996389891698</v>
      </c>
      <c r="AB111">
        <v>1.0496389891696751</v>
      </c>
      <c r="AC111">
        <v>-0.23292021784706574</v>
      </c>
      <c r="AD111" t="str">
        <f>tbl_mart[[#This Row],[boligtype_code]]&amp;"|"&amp;tbl_mart[[#This Row],[quarter]]</f>
        <v>0|2019Q2</v>
      </c>
      <c r="AE111" s="9">
        <f>INT(YEAR(tbl_mart[[#This Row],[quarter_start]])/10)*10</f>
        <v>2010</v>
      </c>
    </row>
    <row r="112" spans="1:31" x14ac:dyDescent="0.2">
      <c r="A112">
        <v>0</v>
      </c>
      <c r="B112" t="s">
        <v>140</v>
      </c>
      <c r="C112" s="1">
        <v>43647</v>
      </c>
      <c r="D112">
        <v>117.8</v>
      </c>
      <c r="E112">
        <v>117.3</v>
      </c>
      <c r="F112">
        <v>110.8</v>
      </c>
      <c r="G112" t="s">
        <v>30</v>
      </c>
      <c r="H112">
        <v>2.2765151515151514</v>
      </c>
      <c r="I112">
        <v>2.5</v>
      </c>
      <c r="J112">
        <v>2.25</v>
      </c>
      <c r="K112">
        <v>2.5</v>
      </c>
      <c r="L112">
        <v>66</v>
      </c>
      <c r="M112">
        <v>1</v>
      </c>
      <c r="N112">
        <v>0.25</v>
      </c>
      <c r="O112">
        <v>0.25</v>
      </c>
      <c r="P112">
        <v>-0.75821398483572056</v>
      </c>
      <c r="Q112">
        <v>2.3457862728062606</v>
      </c>
      <c r="R112">
        <v>0.85984522785897965</v>
      </c>
      <c r="S112">
        <v>2.3560209424083878</v>
      </c>
      <c r="T112">
        <v>2.2140221402213944</v>
      </c>
      <c r="U112">
        <v>1.0631768953068592</v>
      </c>
      <c r="V112">
        <v>1.0586642599277978</v>
      </c>
      <c r="W112">
        <v>-0.75821398483572056</v>
      </c>
      <c r="X112">
        <v>2.3457862728062606</v>
      </c>
      <c r="Y112">
        <v>0.85984522785897965</v>
      </c>
      <c r="Z112">
        <v>2.3560209424083878</v>
      </c>
      <c r="AA112">
        <v>1.0631768953068592</v>
      </c>
      <c r="AB112">
        <v>1.0586642599277978</v>
      </c>
      <c r="AC112">
        <v>0.12891003585018268</v>
      </c>
      <c r="AD112" t="str">
        <f>tbl_mart[[#This Row],[boligtype_code]]&amp;"|"&amp;tbl_mart[[#This Row],[quarter]]</f>
        <v>0|2019Q3</v>
      </c>
      <c r="AE112" s="9">
        <f>INT(YEAR(tbl_mart[[#This Row],[quarter_start]])/10)*10</f>
        <v>2010</v>
      </c>
    </row>
    <row r="113" spans="1:31" x14ac:dyDescent="0.2">
      <c r="A113">
        <v>0</v>
      </c>
      <c r="B113" t="s">
        <v>141</v>
      </c>
      <c r="C113" s="1">
        <v>43739</v>
      </c>
      <c r="D113">
        <v>115.3</v>
      </c>
      <c r="E113">
        <v>118.1</v>
      </c>
      <c r="F113">
        <v>110.8</v>
      </c>
      <c r="G113" t="s">
        <v>30</v>
      </c>
      <c r="H113">
        <v>2.5</v>
      </c>
      <c r="I113">
        <v>2.5</v>
      </c>
      <c r="J113">
        <v>2.5</v>
      </c>
      <c r="K113">
        <v>2.5</v>
      </c>
      <c r="L113">
        <v>63</v>
      </c>
      <c r="P113">
        <v>-2.1222410865874397</v>
      </c>
      <c r="Q113">
        <v>2.5800711743772187</v>
      </c>
      <c r="R113">
        <v>0.68201193520887049</v>
      </c>
      <c r="S113">
        <v>2.6956521739130324</v>
      </c>
      <c r="T113">
        <v>2.2140221402213944</v>
      </c>
      <c r="U113">
        <v>1.0406137184115523</v>
      </c>
      <c r="V113">
        <v>1.0658844765342961</v>
      </c>
      <c r="W113">
        <v>-2.1222410865874397</v>
      </c>
      <c r="X113">
        <v>2.5800711743772187</v>
      </c>
      <c r="Y113">
        <v>0.68201193520887049</v>
      </c>
      <c r="Z113">
        <v>2.6956521739130324</v>
      </c>
      <c r="AA113">
        <v>1.0406137184115523</v>
      </c>
      <c r="AB113">
        <v>1.0658844765342961</v>
      </c>
      <c r="AC113">
        <v>0.35812017421019693</v>
      </c>
      <c r="AD113" t="str">
        <f>tbl_mart[[#This Row],[boligtype_code]]&amp;"|"&amp;tbl_mart[[#This Row],[quarter]]</f>
        <v>0|2019Q4</v>
      </c>
      <c r="AE113" s="9">
        <f>INT(YEAR(tbl_mart[[#This Row],[quarter_start]])/10)*10</f>
        <v>2010</v>
      </c>
    </row>
    <row r="114" spans="1:31" x14ac:dyDescent="0.2">
      <c r="A114">
        <v>0</v>
      </c>
      <c r="B114" t="s">
        <v>142</v>
      </c>
      <c r="C114" s="1">
        <v>43831</v>
      </c>
      <c r="D114">
        <v>117.6</v>
      </c>
      <c r="E114">
        <v>117.9</v>
      </c>
      <c r="F114">
        <v>112.2</v>
      </c>
      <c r="G114" t="s">
        <v>30</v>
      </c>
      <c r="H114">
        <v>2.32421875</v>
      </c>
      <c r="I114">
        <v>1.25</v>
      </c>
      <c r="J114">
        <v>1.25</v>
      </c>
      <c r="K114">
        <v>2.5</v>
      </c>
      <c r="L114">
        <v>64</v>
      </c>
      <c r="M114">
        <v>2</v>
      </c>
      <c r="N114">
        <v>-1.25</v>
      </c>
      <c r="O114">
        <v>1.25</v>
      </c>
      <c r="P114">
        <v>1.9947961838681749</v>
      </c>
      <c r="Q114">
        <v>1.9064124783362058</v>
      </c>
      <c r="R114">
        <v>-0.16934801016087464</v>
      </c>
      <c r="S114">
        <v>1.9896193771626436</v>
      </c>
      <c r="T114">
        <v>1.2635379061371799</v>
      </c>
      <c r="U114">
        <v>1.0481283422459893</v>
      </c>
      <c r="V114">
        <v>1.0508021390374331</v>
      </c>
      <c r="W114">
        <v>1.9947961838681749</v>
      </c>
      <c r="X114">
        <v>1.9064124783362058</v>
      </c>
      <c r="Y114">
        <v>-0.16934801016087464</v>
      </c>
      <c r="Z114">
        <v>1.9896193771626436</v>
      </c>
      <c r="AA114">
        <v>1.0481283422459893</v>
      </c>
      <c r="AB114">
        <v>1.0508021390374331</v>
      </c>
      <c r="AC114">
        <v>0.63485296434626637</v>
      </c>
      <c r="AD114" t="str">
        <f>tbl_mart[[#This Row],[boligtype_code]]&amp;"|"&amp;tbl_mart[[#This Row],[quarter]]</f>
        <v>0|2020Q1</v>
      </c>
      <c r="AE114" s="9">
        <f>INT(YEAR(tbl_mart[[#This Row],[quarter_start]])/10)*10</f>
        <v>2020</v>
      </c>
    </row>
    <row r="115" spans="1:31" x14ac:dyDescent="0.2">
      <c r="A115">
        <v>0</v>
      </c>
      <c r="B115" t="s">
        <v>143</v>
      </c>
      <c r="C115" s="1">
        <v>43922</v>
      </c>
      <c r="D115">
        <v>121.9</v>
      </c>
      <c r="E115">
        <v>119.3</v>
      </c>
      <c r="F115">
        <v>112.2</v>
      </c>
      <c r="G115" t="s">
        <v>30</v>
      </c>
      <c r="H115">
        <v>1.097457627118644</v>
      </c>
      <c r="I115">
        <v>1</v>
      </c>
      <c r="J115">
        <v>1</v>
      </c>
      <c r="K115">
        <v>1.25</v>
      </c>
      <c r="L115">
        <v>59</v>
      </c>
      <c r="M115">
        <v>1</v>
      </c>
      <c r="N115">
        <v>-0.25</v>
      </c>
      <c r="O115">
        <v>0.25</v>
      </c>
      <c r="P115">
        <v>3.656462585034026</v>
      </c>
      <c r="Q115">
        <v>2.695871946082562</v>
      </c>
      <c r="R115">
        <v>1.187446988973706</v>
      </c>
      <c r="S115">
        <v>2.5795356835769612</v>
      </c>
      <c r="T115">
        <v>1.2635379061371799</v>
      </c>
      <c r="U115">
        <v>1.0864527629233511</v>
      </c>
      <c r="V115">
        <v>1.0632798573975044</v>
      </c>
      <c r="W115">
        <v>3.656462585034026</v>
      </c>
      <c r="X115">
        <v>2.695871946082562</v>
      </c>
      <c r="Y115">
        <v>1.187446988973706</v>
      </c>
      <c r="Z115">
        <v>2.5795356835769612</v>
      </c>
      <c r="AA115">
        <v>1.0864527629233511</v>
      </c>
      <c r="AB115">
        <v>1.0632798573975044</v>
      </c>
      <c r="AC115">
        <v>1.4144617791973735</v>
      </c>
      <c r="AD115" t="str">
        <f>tbl_mart[[#This Row],[boligtype_code]]&amp;"|"&amp;tbl_mart[[#This Row],[quarter]]</f>
        <v>0|2020Q2</v>
      </c>
      <c r="AE115" s="9">
        <f>INT(YEAR(tbl_mart[[#This Row],[quarter_start]])/10)*10</f>
        <v>2020</v>
      </c>
    </row>
    <row r="116" spans="1:31" x14ac:dyDescent="0.2">
      <c r="A116">
        <v>0</v>
      </c>
      <c r="B116" t="s">
        <v>144</v>
      </c>
      <c r="C116" s="1">
        <v>44013</v>
      </c>
      <c r="D116">
        <v>123.6</v>
      </c>
      <c r="E116">
        <v>123</v>
      </c>
      <c r="F116">
        <v>112.2</v>
      </c>
      <c r="G116" t="s">
        <v>30</v>
      </c>
      <c r="H116">
        <v>1</v>
      </c>
      <c r="I116">
        <v>1</v>
      </c>
      <c r="J116">
        <v>1</v>
      </c>
      <c r="K116">
        <v>1</v>
      </c>
      <c r="L116">
        <v>66</v>
      </c>
      <c r="P116">
        <v>1.3945857260049044</v>
      </c>
      <c r="Q116">
        <v>4.9235993208828432</v>
      </c>
      <c r="R116">
        <v>3.1014249790444204</v>
      </c>
      <c r="S116">
        <v>4.8593350383631773</v>
      </c>
      <c r="T116">
        <v>1.2635379061371799</v>
      </c>
      <c r="U116">
        <v>1.1016042780748663</v>
      </c>
      <c r="V116">
        <v>1.0962566844919786</v>
      </c>
      <c r="W116">
        <v>1.3945857260049044</v>
      </c>
      <c r="X116">
        <v>4.9235993208828432</v>
      </c>
      <c r="Y116">
        <v>3.1014249790444204</v>
      </c>
      <c r="Z116">
        <v>4.8593350383631773</v>
      </c>
      <c r="AA116">
        <v>1.1016042780748663</v>
      </c>
      <c r="AB116">
        <v>1.0962566844919786</v>
      </c>
      <c r="AC116">
        <v>3.6143921992318973</v>
      </c>
      <c r="AD116" t="str">
        <f>tbl_mart[[#This Row],[boligtype_code]]&amp;"|"&amp;tbl_mart[[#This Row],[quarter]]</f>
        <v>0|2020Q3</v>
      </c>
      <c r="AE116" s="9">
        <f>INT(YEAR(tbl_mart[[#This Row],[quarter_start]])/10)*10</f>
        <v>2020</v>
      </c>
    </row>
    <row r="117" spans="1:31" x14ac:dyDescent="0.2">
      <c r="A117">
        <v>0</v>
      </c>
      <c r="B117" t="s">
        <v>145</v>
      </c>
      <c r="C117" s="1">
        <v>44105</v>
      </c>
      <c r="D117">
        <v>124</v>
      </c>
      <c r="E117">
        <v>127.2</v>
      </c>
      <c r="F117">
        <v>112.2</v>
      </c>
      <c r="G117" t="s">
        <v>30</v>
      </c>
      <c r="H117">
        <v>1</v>
      </c>
      <c r="I117">
        <v>1</v>
      </c>
      <c r="J117">
        <v>1</v>
      </c>
      <c r="K117">
        <v>1</v>
      </c>
      <c r="L117">
        <v>64</v>
      </c>
      <c r="P117">
        <v>0.32362459546926292</v>
      </c>
      <c r="Q117">
        <v>7.5455333911535138</v>
      </c>
      <c r="R117">
        <v>3.4146341463414664</v>
      </c>
      <c r="S117">
        <v>7.7053344623200681</v>
      </c>
      <c r="T117">
        <v>1.2635379061371799</v>
      </c>
      <c r="U117">
        <v>1.1051693404634582</v>
      </c>
      <c r="V117">
        <v>1.1336898395721926</v>
      </c>
      <c r="W117">
        <v>0.32362459546926292</v>
      </c>
      <c r="X117">
        <v>7.5455333911535138</v>
      </c>
      <c r="Y117">
        <v>3.4146341463414664</v>
      </c>
      <c r="Z117">
        <v>7.7053344623200681</v>
      </c>
      <c r="AA117">
        <v>1.1051693404634582</v>
      </c>
      <c r="AB117">
        <v>1.1336898395721926</v>
      </c>
      <c r="AC117">
        <v>6.2036105146150655</v>
      </c>
      <c r="AD117" t="str">
        <f>tbl_mart[[#This Row],[boligtype_code]]&amp;"|"&amp;tbl_mart[[#This Row],[quarter]]</f>
        <v>0|2020Q4</v>
      </c>
      <c r="AE117" s="9">
        <f>INT(YEAR(tbl_mart[[#This Row],[quarter_start]])/10)*10</f>
        <v>2020</v>
      </c>
    </row>
    <row r="118" spans="1:31" x14ac:dyDescent="0.2">
      <c r="A118">
        <v>0</v>
      </c>
      <c r="B118" t="s">
        <v>146</v>
      </c>
      <c r="C118" s="1">
        <v>44197</v>
      </c>
      <c r="D118">
        <v>130.69999999999999</v>
      </c>
      <c r="E118">
        <v>131.1</v>
      </c>
      <c r="F118">
        <v>116.1</v>
      </c>
      <c r="G118" t="s">
        <v>30</v>
      </c>
      <c r="H118">
        <v>1</v>
      </c>
      <c r="I118">
        <v>1</v>
      </c>
      <c r="J118">
        <v>1</v>
      </c>
      <c r="K118">
        <v>1</v>
      </c>
      <c r="L118">
        <v>63</v>
      </c>
      <c r="P118">
        <v>5.4032258064516059</v>
      </c>
      <c r="Q118">
        <v>11.139455782312924</v>
      </c>
      <c r="R118">
        <v>3.0660377358490587</v>
      </c>
      <c r="S118">
        <v>11.195928753180651</v>
      </c>
      <c r="T118">
        <v>3.475935828876997</v>
      </c>
      <c r="U118">
        <v>1.1257536606373815</v>
      </c>
      <c r="V118">
        <v>1.1291989664082687</v>
      </c>
      <c r="W118">
        <v>5.4032258064516059</v>
      </c>
      <c r="X118">
        <v>11.139455782312924</v>
      </c>
      <c r="Y118">
        <v>3.0660377358490587</v>
      </c>
      <c r="Z118">
        <v>11.195928753180651</v>
      </c>
      <c r="AA118">
        <v>1.1257536606373815</v>
      </c>
      <c r="AB118">
        <v>1.1291989664082687</v>
      </c>
      <c r="AC118">
        <v>7.4060890506073118</v>
      </c>
      <c r="AD118" t="str">
        <f>tbl_mart[[#This Row],[boligtype_code]]&amp;"|"&amp;tbl_mart[[#This Row],[quarter]]</f>
        <v>0|2021Q1</v>
      </c>
      <c r="AE118" s="9">
        <f>INT(YEAR(tbl_mart[[#This Row],[quarter_start]])/10)*10</f>
        <v>2020</v>
      </c>
    </row>
    <row r="119" spans="1:31" x14ac:dyDescent="0.2">
      <c r="A119">
        <v>0</v>
      </c>
      <c r="B119" t="s">
        <v>147</v>
      </c>
      <c r="C119" s="1">
        <v>44287</v>
      </c>
      <c r="D119">
        <v>137</v>
      </c>
      <c r="E119">
        <v>133.80000000000001</v>
      </c>
      <c r="F119">
        <v>116.1</v>
      </c>
      <c r="G119" t="s">
        <v>30</v>
      </c>
      <c r="H119">
        <v>1</v>
      </c>
      <c r="I119">
        <v>1</v>
      </c>
      <c r="J119">
        <v>1</v>
      </c>
      <c r="K119">
        <v>1</v>
      </c>
      <c r="L119">
        <v>59</v>
      </c>
      <c r="P119">
        <v>4.8201989288446878</v>
      </c>
      <c r="Q119">
        <v>12.387202625102534</v>
      </c>
      <c r="R119">
        <v>2.0594965675057253</v>
      </c>
      <c r="S119">
        <v>12.154233025984929</v>
      </c>
      <c r="T119">
        <v>3.475935828876997</v>
      </c>
      <c r="U119">
        <v>1.1800172265288544</v>
      </c>
      <c r="V119">
        <v>1.1524547803617573</v>
      </c>
      <c r="W119">
        <v>4.8201989288446878</v>
      </c>
      <c r="X119">
        <v>12.387202625102534</v>
      </c>
      <c r="Y119">
        <v>2.0594965675057253</v>
      </c>
      <c r="Z119">
        <v>12.154233025984929</v>
      </c>
      <c r="AA119">
        <v>1.1800172265288544</v>
      </c>
      <c r="AB119">
        <v>1.1524547803617573</v>
      </c>
      <c r="AC119">
        <v>8.6119219167657626</v>
      </c>
      <c r="AD119" t="str">
        <f>tbl_mart[[#This Row],[boligtype_code]]&amp;"|"&amp;tbl_mart[[#This Row],[quarter]]</f>
        <v>0|2021Q2</v>
      </c>
      <c r="AE119" s="9">
        <f>INT(YEAR(tbl_mart[[#This Row],[quarter_start]])/10)*10</f>
        <v>2020</v>
      </c>
    </row>
    <row r="120" spans="1:31" x14ac:dyDescent="0.2">
      <c r="A120">
        <v>0</v>
      </c>
      <c r="B120" t="s">
        <v>148</v>
      </c>
      <c r="C120" s="1">
        <v>44378</v>
      </c>
      <c r="D120">
        <v>136.5</v>
      </c>
      <c r="E120">
        <v>135.80000000000001</v>
      </c>
      <c r="F120">
        <v>116.1</v>
      </c>
      <c r="G120" t="s">
        <v>30</v>
      </c>
      <c r="H120">
        <v>1.018939393939394</v>
      </c>
      <c r="I120">
        <v>1.25</v>
      </c>
      <c r="J120">
        <v>1</v>
      </c>
      <c r="K120">
        <v>1.25</v>
      </c>
      <c r="L120">
        <v>66</v>
      </c>
      <c r="M120">
        <v>1</v>
      </c>
      <c r="N120">
        <v>0.25</v>
      </c>
      <c r="O120">
        <v>0.25</v>
      </c>
      <c r="P120">
        <v>-0.36496350364964014</v>
      </c>
      <c r="Q120">
        <v>10.436893203883502</v>
      </c>
      <c r="R120">
        <v>1.4947683109117982</v>
      </c>
      <c r="S120">
        <v>10.406504065040668</v>
      </c>
      <c r="T120">
        <v>3.475935828876997</v>
      </c>
      <c r="U120">
        <v>1.1757105943152455</v>
      </c>
      <c r="V120">
        <v>1.1696813092161931</v>
      </c>
      <c r="W120">
        <v>-0.36496350364964014</v>
      </c>
      <c r="X120">
        <v>10.436893203883502</v>
      </c>
      <c r="Y120">
        <v>1.4947683109117982</v>
      </c>
      <c r="Z120">
        <v>10.406504065040668</v>
      </c>
      <c r="AA120">
        <v>1.1757105943152455</v>
      </c>
      <c r="AB120">
        <v>1.1696813092161931</v>
      </c>
      <c r="AC120">
        <v>6.7271267655101497</v>
      </c>
      <c r="AD120" t="str">
        <f>tbl_mart[[#This Row],[boligtype_code]]&amp;"|"&amp;tbl_mart[[#This Row],[quarter]]</f>
        <v>0|2021Q3</v>
      </c>
      <c r="AE120" s="9">
        <f>INT(YEAR(tbl_mart[[#This Row],[quarter_start]])/10)*10</f>
        <v>2020</v>
      </c>
    </row>
    <row r="121" spans="1:31" x14ac:dyDescent="0.2">
      <c r="A121">
        <v>0</v>
      </c>
      <c r="B121" t="s">
        <v>149</v>
      </c>
      <c r="C121" s="1">
        <v>44470</v>
      </c>
      <c r="D121">
        <v>133.9</v>
      </c>
      <c r="E121">
        <v>137.6</v>
      </c>
      <c r="F121">
        <v>116.1</v>
      </c>
      <c r="G121" t="s">
        <v>30</v>
      </c>
      <c r="H121">
        <v>1.2884615384615385</v>
      </c>
      <c r="I121">
        <v>1.5</v>
      </c>
      <c r="J121">
        <v>1.25</v>
      </c>
      <c r="K121">
        <v>1.5</v>
      </c>
      <c r="L121">
        <v>65</v>
      </c>
      <c r="M121">
        <v>1</v>
      </c>
      <c r="N121">
        <v>0.25</v>
      </c>
      <c r="O121">
        <v>0.25</v>
      </c>
      <c r="P121">
        <v>-1.904761904761898</v>
      </c>
      <c r="Q121">
        <v>7.9838709677419351</v>
      </c>
      <c r="R121">
        <v>1.3254786450662692</v>
      </c>
      <c r="S121">
        <v>8.1761006289308149</v>
      </c>
      <c r="T121">
        <v>3.475935828876997</v>
      </c>
      <c r="U121">
        <v>1.153316106804479</v>
      </c>
      <c r="V121">
        <v>1.1851851851851851</v>
      </c>
      <c r="W121">
        <v>-1.904761904761898</v>
      </c>
      <c r="X121">
        <v>7.9838709677419351</v>
      </c>
      <c r="Y121">
        <v>1.3254786450662692</v>
      </c>
      <c r="Z121">
        <v>8.1761006289308149</v>
      </c>
      <c r="AA121">
        <v>1.153316106804479</v>
      </c>
      <c r="AB121">
        <v>1.1851851851851851</v>
      </c>
      <c r="AC121">
        <v>4.3565057931149509</v>
      </c>
      <c r="AD121" t="str">
        <f>tbl_mart[[#This Row],[boligtype_code]]&amp;"|"&amp;tbl_mart[[#This Row],[quarter]]</f>
        <v>0|2021Q4</v>
      </c>
      <c r="AE121" s="9">
        <f>INT(YEAR(tbl_mart[[#This Row],[quarter_start]])/10)*10</f>
        <v>2020</v>
      </c>
    </row>
    <row r="122" spans="1:31" x14ac:dyDescent="0.2">
      <c r="A122">
        <v>0</v>
      </c>
      <c r="B122" t="s">
        <v>150</v>
      </c>
      <c r="C122" s="1">
        <v>44562</v>
      </c>
      <c r="D122">
        <v>140.1</v>
      </c>
      <c r="E122">
        <v>140.5</v>
      </c>
      <c r="F122">
        <v>122.8</v>
      </c>
      <c r="G122" t="s">
        <v>30</v>
      </c>
      <c r="H122">
        <v>1.51953125</v>
      </c>
      <c r="I122">
        <v>1.75</v>
      </c>
      <c r="J122">
        <v>1.5</v>
      </c>
      <c r="K122">
        <v>1.75</v>
      </c>
      <c r="L122">
        <v>64</v>
      </c>
      <c r="M122">
        <v>1</v>
      </c>
      <c r="N122">
        <v>0.25</v>
      </c>
      <c r="O122">
        <v>0.25</v>
      </c>
      <c r="P122">
        <v>4.6303211351754969</v>
      </c>
      <c r="Q122">
        <v>7.1920428462127095</v>
      </c>
      <c r="R122">
        <v>2.107558139534893</v>
      </c>
      <c r="S122">
        <v>7.170099160945842</v>
      </c>
      <c r="T122">
        <v>5.7708871662360162</v>
      </c>
      <c r="U122">
        <v>1.1408794788273615</v>
      </c>
      <c r="V122">
        <v>1.1441368078175895</v>
      </c>
      <c r="W122">
        <v>4.6303211351754969</v>
      </c>
      <c r="X122">
        <v>7.1920428462127095</v>
      </c>
      <c r="Y122">
        <v>2.107558139534893</v>
      </c>
      <c r="Z122">
        <v>7.170099160945842</v>
      </c>
      <c r="AA122">
        <v>1.1408794788273615</v>
      </c>
      <c r="AB122">
        <v>1.1441368078175895</v>
      </c>
      <c r="AC122">
        <v>1.3436170557434401</v>
      </c>
      <c r="AD122" t="str">
        <f>tbl_mart[[#This Row],[boligtype_code]]&amp;"|"&amp;tbl_mart[[#This Row],[quarter]]</f>
        <v>0|2022Q1</v>
      </c>
      <c r="AE122" s="9">
        <f>INT(YEAR(tbl_mart[[#This Row],[quarter_start]])/10)*10</f>
        <v>2020</v>
      </c>
    </row>
    <row r="123" spans="1:31" x14ac:dyDescent="0.2">
      <c r="A123">
        <v>0</v>
      </c>
      <c r="B123" t="s">
        <v>151</v>
      </c>
      <c r="C123" s="1">
        <v>44652</v>
      </c>
      <c r="D123">
        <v>145.69999999999999</v>
      </c>
      <c r="E123">
        <v>142.19999999999999</v>
      </c>
      <c r="F123">
        <v>122.8</v>
      </c>
      <c r="G123" t="s">
        <v>30</v>
      </c>
      <c r="H123">
        <v>1.7923728813559323</v>
      </c>
      <c r="I123">
        <v>2.25</v>
      </c>
      <c r="J123">
        <v>1.75</v>
      </c>
      <c r="K123">
        <v>2.25</v>
      </c>
      <c r="L123">
        <v>59</v>
      </c>
      <c r="M123">
        <v>1</v>
      </c>
      <c r="N123">
        <v>0.5</v>
      </c>
      <c r="O123">
        <v>0.5</v>
      </c>
      <c r="P123">
        <v>3.9971448965024914</v>
      </c>
      <c r="Q123">
        <v>6.3503649635036519</v>
      </c>
      <c r="R123">
        <v>1.2099644128113818</v>
      </c>
      <c r="S123">
        <v>6.2780269058295701</v>
      </c>
      <c r="T123">
        <v>5.7708871662360162</v>
      </c>
      <c r="U123">
        <v>1.1864820846905537</v>
      </c>
      <c r="V123">
        <v>1.1579804560260585</v>
      </c>
      <c r="W123">
        <v>3.9971448965024914</v>
      </c>
      <c r="X123">
        <v>6.3503649635036519</v>
      </c>
      <c r="Y123">
        <v>1.2099644128113818</v>
      </c>
      <c r="Z123">
        <v>6.2780269058295701</v>
      </c>
      <c r="AA123">
        <v>1.1864820846905537</v>
      </c>
      <c r="AB123">
        <v>1.1579804560260585</v>
      </c>
      <c r="AC123">
        <v>0.54786133764472833</v>
      </c>
      <c r="AD123" t="str">
        <f>tbl_mart[[#This Row],[boligtype_code]]&amp;"|"&amp;tbl_mart[[#This Row],[quarter]]</f>
        <v>0|2022Q2</v>
      </c>
      <c r="AE123" s="9">
        <f>INT(YEAR(tbl_mart[[#This Row],[quarter_start]])/10)*10</f>
        <v>2020</v>
      </c>
    </row>
    <row r="124" spans="1:31" x14ac:dyDescent="0.2">
      <c r="A124">
        <v>0</v>
      </c>
      <c r="B124" t="s">
        <v>152</v>
      </c>
      <c r="C124" s="1">
        <v>44743</v>
      </c>
      <c r="D124">
        <v>143.1</v>
      </c>
      <c r="E124">
        <v>142.4</v>
      </c>
      <c r="F124">
        <v>122.8</v>
      </c>
      <c r="G124" t="s">
        <v>30</v>
      </c>
      <c r="H124">
        <v>2.5303030303030303</v>
      </c>
      <c r="I124">
        <v>3.25</v>
      </c>
      <c r="J124">
        <v>2.25</v>
      </c>
      <c r="K124">
        <v>3.25</v>
      </c>
      <c r="L124">
        <v>66</v>
      </c>
      <c r="M124">
        <v>2</v>
      </c>
      <c r="N124">
        <v>1</v>
      </c>
      <c r="O124">
        <v>1</v>
      </c>
      <c r="P124">
        <v>-1.7844886753603295</v>
      </c>
      <c r="Q124">
        <v>4.8351648351648402</v>
      </c>
      <c r="R124">
        <v>0.14064697609001975</v>
      </c>
      <c r="S124">
        <v>4.8600883652430094</v>
      </c>
      <c r="T124">
        <v>5.7708871662360162</v>
      </c>
      <c r="U124">
        <v>1.1653094462540716</v>
      </c>
      <c r="V124">
        <v>1.1596091205211727</v>
      </c>
      <c r="W124">
        <v>-1.7844886753603295</v>
      </c>
      <c r="X124">
        <v>4.8351648351648402</v>
      </c>
      <c r="Y124">
        <v>0.14064697609001975</v>
      </c>
      <c r="Z124">
        <v>4.8600883652430094</v>
      </c>
      <c r="AA124">
        <v>1.1653094462540716</v>
      </c>
      <c r="AB124">
        <v>1.1596091205211727</v>
      </c>
      <c r="AC124">
        <v>-0.88466907685149643</v>
      </c>
      <c r="AD124" t="str">
        <f>tbl_mart[[#This Row],[boligtype_code]]&amp;"|"&amp;tbl_mart[[#This Row],[quarter]]</f>
        <v>0|2022Q3</v>
      </c>
      <c r="AE124" s="9">
        <f>INT(YEAR(tbl_mart[[#This Row],[quarter_start]])/10)*10</f>
        <v>2020</v>
      </c>
    </row>
    <row r="125" spans="1:31" x14ac:dyDescent="0.2">
      <c r="A125">
        <v>0</v>
      </c>
      <c r="B125" t="s">
        <v>153</v>
      </c>
      <c r="C125" s="1">
        <v>44835</v>
      </c>
      <c r="D125">
        <v>137.4</v>
      </c>
      <c r="E125">
        <v>141.4</v>
      </c>
      <c r="F125">
        <v>122.8</v>
      </c>
      <c r="G125" t="s">
        <v>30</v>
      </c>
      <c r="H125">
        <v>3.4453125</v>
      </c>
      <c r="I125">
        <v>3.75</v>
      </c>
      <c r="J125">
        <v>3.25</v>
      </c>
      <c r="K125">
        <v>3.75</v>
      </c>
      <c r="L125">
        <v>64</v>
      </c>
      <c r="M125">
        <v>2</v>
      </c>
      <c r="N125">
        <v>0.5</v>
      </c>
      <c r="O125">
        <v>0.5</v>
      </c>
      <c r="P125">
        <v>-3.98322851153039</v>
      </c>
      <c r="Q125">
        <v>2.6138909634055185</v>
      </c>
      <c r="R125">
        <v>-0.70224719101124045</v>
      </c>
      <c r="S125">
        <v>2.7616279069767602</v>
      </c>
      <c r="T125">
        <v>5.7708871662360162</v>
      </c>
      <c r="U125">
        <v>1.1188925081433225</v>
      </c>
      <c r="V125">
        <v>1.1514657980456027</v>
      </c>
      <c r="W125">
        <v>-3.98322851153039</v>
      </c>
      <c r="X125">
        <v>2.6138909634055185</v>
      </c>
      <c r="Y125">
        <v>-0.70224719101124045</v>
      </c>
      <c r="Z125">
        <v>2.7616279069767602</v>
      </c>
      <c r="AA125">
        <v>1.1188925081433225</v>
      </c>
      <c r="AB125">
        <v>1.1514657980456027</v>
      </c>
      <c r="AC125">
        <v>-2.9847496673340301</v>
      </c>
      <c r="AD125" t="str">
        <f>tbl_mart[[#This Row],[boligtype_code]]&amp;"|"&amp;tbl_mart[[#This Row],[quarter]]</f>
        <v>0|2022Q4</v>
      </c>
      <c r="AE125" s="9">
        <f>INT(YEAR(tbl_mart[[#This Row],[quarter_start]])/10)*10</f>
        <v>2020</v>
      </c>
    </row>
    <row r="126" spans="1:31" x14ac:dyDescent="0.2">
      <c r="A126">
        <v>0</v>
      </c>
      <c r="B126" t="s">
        <v>154</v>
      </c>
      <c r="C126" s="1">
        <v>44927</v>
      </c>
      <c r="D126">
        <v>140</v>
      </c>
      <c r="E126">
        <v>140.30000000000001</v>
      </c>
      <c r="F126">
        <v>129.6</v>
      </c>
      <c r="G126" t="s">
        <v>30</v>
      </c>
      <c r="H126">
        <v>3.773076923076923</v>
      </c>
      <c r="I126">
        <v>4</v>
      </c>
      <c r="J126">
        <v>3.75</v>
      </c>
      <c r="K126">
        <v>4</v>
      </c>
      <c r="L126">
        <v>65</v>
      </c>
      <c r="M126">
        <v>1</v>
      </c>
      <c r="N126">
        <v>0.25</v>
      </c>
      <c r="O126">
        <v>0.25</v>
      </c>
      <c r="P126">
        <v>1.8922852983988214</v>
      </c>
      <c r="Q126">
        <v>-7.1377587437537748E-2</v>
      </c>
      <c r="R126">
        <v>-0.77793493635077704</v>
      </c>
      <c r="S126">
        <v>-0.1423487544483959</v>
      </c>
      <c r="T126">
        <v>5.5374592833876246</v>
      </c>
      <c r="U126">
        <v>1.080246913580247</v>
      </c>
      <c r="V126">
        <v>1.0825617283950619</v>
      </c>
      <c r="W126">
        <v>1.8922852983988214</v>
      </c>
      <c r="X126">
        <v>-7.1377587437537748E-2</v>
      </c>
      <c r="Y126">
        <v>-0.77793493635077704</v>
      </c>
      <c r="Z126">
        <v>-0.1423487544483959</v>
      </c>
      <c r="AA126">
        <v>1.080246913580247</v>
      </c>
      <c r="AB126">
        <v>1.0825617283950619</v>
      </c>
      <c r="AC126">
        <v>-5.3145460473559281</v>
      </c>
      <c r="AD126" t="str">
        <f>tbl_mart[[#This Row],[boligtype_code]]&amp;"|"&amp;tbl_mart[[#This Row],[quarter]]</f>
        <v>0|2023Q1</v>
      </c>
      <c r="AE126" s="9">
        <f>INT(YEAR(tbl_mart[[#This Row],[quarter_start]])/10)*10</f>
        <v>2020</v>
      </c>
    </row>
    <row r="127" spans="1:31" x14ac:dyDescent="0.2">
      <c r="A127">
        <v>0</v>
      </c>
      <c r="B127" t="s">
        <v>155</v>
      </c>
      <c r="C127" s="1">
        <v>45017</v>
      </c>
      <c r="D127">
        <v>145.5</v>
      </c>
      <c r="E127">
        <v>141.80000000000001</v>
      </c>
      <c r="F127">
        <v>129.6</v>
      </c>
      <c r="G127" t="s">
        <v>30</v>
      </c>
      <c r="H127">
        <v>4.2155172413793105</v>
      </c>
      <c r="I127">
        <v>4.75</v>
      </c>
      <c r="J127">
        <v>4</v>
      </c>
      <c r="K127">
        <v>4.75</v>
      </c>
      <c r="L127">
        <v>58</v>
      </c>
      <c r="M127">
        <v>2</v>
      </c>
      <c r="N127">
        <v>0.75</v>
      </c>
      <c r="O127">
        <v>0.75</v>
      </c>
      <c r="P127">
        <v>3.9285714285714368</v>
      </c>
      <c r="Q127">
        <v>-0.13726835964309458</v>
      </c>
      <c r="R127">
        <v>1.0691375623663513</v>
      </c>
      <c r="S127">
        <v>-0.28129395218001729</v>
      </c>
      <c r="T127">
        <v>5.5374592833876246</v>
      </c>
      <c r="U127">
        <v>1.1226851851851853</v>
      </c>
      <c r="V127">
        <v>1.0941358024691359</v>
      </c>
      <c r="W127">
        <v>3.9285714285714368</v>
      </c>
      <c r="X127">
        <v>-0.13726835964309458</v>
      </c>
      <c r="Y127">
        <v>1.0691375623663513</v>
      </c>
      <c r="Z127">
        <v>-0.28129395218001729</v>
      </c>
      <c r="AA127">
        <v>1.1226851851851853</v>
      </c>
      <c r="AB127">
        <v>1.0941358024691359</v>
      </c>
      <c r="AC127">
        <v>-5.3769795876865034</v>
      </c>
      <c r="AD127" t="str">
        <f>tbl_mart[[#This Row],[boligtype_code]]&amp;"|"&amp;tbl_mart[[#This Row],[quarter]]</f>
        <v>0|2023Q2</v>
      </c>
      <c r="AE127" s="9">
        <f>INT(YEAR(tbl_mart[[#This Row],[quarter_start]])/10)*10</f>
        <v>2020</v>
      </c>
    </row>
    <row r="128" spans="1:31" x14ac:dyDescent="0.2">
      <c r="A128">
        <v>0</v>
      </c>
      <c r="B128" t="s">
        <v>156</v>
      </c>
      <c r="C128" s="1">
        <v>45108</v>
      </c>
      <c r="D128">
        <v>141.30000000000001</v>
      </c>
      <c r="E128">
        <v>140.6</v>
      </c>
      <c r="F128">
        <v>129.6</v>
      </c>
      <c r="G128" t="s">
        <v>30</v>
      </c>
      <c r="H128">
        <v>4.8923076923076927</v>
      </c>
      <c r="I128">
        <v>5.25</v>
      </c>
      <c r="J128">
        <v>4.75</v>
      </c>
      <c r="K128">
        <v>5.25</v>
      </c>
      <c r="L128">
        <v>65</v>
      </c>
      <c r="M128">
        <v>2</v>
      </c>
      <c r="N128">
        <v>0.5</v>
      </c>
      <c r="O128">
        <v>0.5</v>
      </c>
      <c r="P128">
        <v>-2.8865979381443196</v>
      </c>
      <c r="Q128">
        <v>-1.2578616352201144</v>
      </c>
      <c r="R128">
        <v>-0.84626234132582079</v>
      </c>
      <c r="S128">
        <v>-1.2640449438202306</v>
      </c>
      <c r="T128">
        <v>5.5374592833876246</v>
      </c>
      <c r="U128">
        <v>1.0902777777777779</v>
      </c>
      <c r="V128">
        <v>1.0848765432098766</v>
      </c>
      <c r="W128">
        <v>-2.8865979381443196</v>
      </c>
      <c r="X128">
        <v>-1.2578616352201144</v>
      </c>
      <c r="Y128">
        <v>-0.84626234132582079</v>
      </c>
      <c r="Z128">
        <v>-1.2640449438202306</v>
      </c>
      <c r="AA128">
        <v>1.0902777777777779</v>
      </c>
      <c r="AB128">
        <v>1.0848765432098766</v>
      </c>
      <c r="AC128">
        <v>-6.438776302507943</v>
      </c>
      <c r="AD128" t="str">
        <f>tbl_mart[[#This Row],[boligtype_code]]&amp;"|"&amp;tbl_mart[[#This Row],[quarter]]</f>
        <v>0|2023Q3</v>
      </c>
      <c r="AE128" s="9">
        <f>INT(YEAR(tbl_mart[[#This Row],[quarter_start]])/10)*10</f>
        <v>2020</v>
      </c>
    </row>
    <row r="129" spans="1:31" x14ac:dyDescent="0.2">
      <c r="A129">
        <v>0</v>
      </c>
      <c r="B129" t="s">
        <v>157</v>
      </c>
      <c r="C129" s="1">
        <v>45200</v>
      </c>
      <c r="D129">
        <v>136.4</v>
      </c>
      <c r="E129">
        <v>140.5</v>
      </c>
      <c r="F129">
        <v>129.6</v>
      </c>
      <c r="G129" t="s">
        <v>30</v>
      </c>
      <c r="H129">
        <v>5.2857142857142856</v>
      </c>
      <c r="I129">
        <v>5.5</v>
      </c>
      <c r="J129">
        <v>5.25</v>
      </c>
      <c r="K129">
        <v>5.5</v>
      </c>
      <c r="L129">
        <v>63</v>
      </c>
      <c r="M129">
        <v>1</v>
      </c>
      <c r="N129">
        <v>0.25</v>
      </c>
      <c r="O129">
        <v>0.25</v>
      </c>
      <c r="P129">
        <v>-3.4677990092002897</v>
      </c>
      <c r="Q129">
        <v>-0.72780203784570396</v>
      </c>
      <c r="R129">
        <v>-7.1123755334279171E-2</v>
      </c>
      <c r="S129">
        <v>-0.63649222065064182</v>
      </c>
      <c r="T129">
        <v>5.5374592833876246</v>
      </c>
      <c r="U129">
        <v>1.0524691358024691</v>
      </c>
      <c r="V129">
        <v>1.084104938271605</v>
      </c>
      <c r="W129">
        <v>-3.4677990092002897</v>
      </c>
      <c r="X129">
        <v>-0.72780203784570396</v>
      </c>
      <c r="Y129">
        <v>-7.1123755334279171E-2</v>
      </c>
      <c r="Z129">
        <v>-0.63649222065064182</v>
      </c>
      <c r="AA129">
        <v>1.0524691358024691</v>
      </c>
      <c r="AB129">
        <v>1.084104938271605</v>
      </c>
      <c r="AC129">
        <v>-5.9365284741315865</v>
      </c>
      <c r="AD129" t="str">
        <f>tbl_mart[[#This Row],[boligtype_code]]&amp;"|"&amp;tbl_mart[[#This Row],[quarter]]</f>
        <v>0|2023Q4</v>
      </c>
      <c r="AE129" s="9">
        <f>INT(YEAR(tbl_mart[[#This Row],[quarter_start]])/10)*10</f>
        <v>2020</v>
      </c>
    </row>
    <row r="130" spans="1:31" x14ac:dyDescent="0.2">
      <c r="A130">
        <v>0</v>
      </c>
      <c r="B130" t="s">
        <v>158</v>
      </c>
      <c r="C130" s="1">
        <v>45292</v>
      </c>
      <c r="D130">
        <v>141.69999999999999</v>
      </c>
      <c r="E130">
        <v>141.9</v>
      </c>
      <c r="F130">
        <v>133.6</v>
      </c>
      <c r="G130" t="s">
        <v>30</v>
      </c>
      <c r="H130">
        <v>5.5</v>
      </c>
      <c r="I130">
        <v>5.5</v>
      </c>
      <c r="J130">
        <v>5.5</v>
      </c>
      <c r="K130">
        <v>5.5</v>
      </c>
      <c r="L130">
        <v>62</v>
      </c>
      <c r="P130">
        <v>3.8856304985337209</v>
      </c>
      <c r="Q130">
        <v>1.2142857142857011</v>
      </c>
      <c r="R130">
        <v>0.99644128113880459</v>
      </c>
      <c r="S130">
        <v>1.1404133998574428</v>
      </c>
      <c r="T130">
        <v>3.0864197530864113</v>
      </c>
      <c r="U130">
        <v>1.0606287425149701</v>
      </c>
      <c r="V130">
        <v>1.062125748502994</v>
      </c>
      <c r="W130">
        <v>3.8856304985337209</v>
      </c>
      <c r="X130">
        <v>1.2142857142857011</v>
      </c>
      <c r="Y130">
        <v>0.99644128113880459</v>
      </c>
      <c r="Z130">
        <v>1.1404133998574428</v>
      </c>
      <c r="AA130">
        <v>1.0606287425149701</v>
      </c>
      <c r="AB130">
        <v>1.062125748502994</v>
      </c>
      <c r="AC130">
        <v>-1.8160821214713518</v>
      </c>
      <c r="AD130" t="str">
        <f>tbl_mart[[#This Row],[boligtype_code]]&amp;"|"&amp;tbl_mart[[#This Row],[quarter]]</f>
        <v>0|2024Q1</v>
      </c>
      <c r="AE130" s="9">
        <f>INT(YEAR(tbl_mart[[#This Row],[quarter_start]])/10)*10</f>
        <v>2020</v>
      </c>
    </row>
    <row r="131" spans="1:31" x14ac:dyDescent="0.2">
      <c r="A131">
        <v>0</v>
      </c>
      <c r="B131" t="s">
        <v>159</v>
      </c>
      <c r="C131" s="1">
        <v>45383</v>
      </c>
      <c r="D131">
        <v>147.69999999999999</v>
      </c>
      <c r="E131">
        <v>143.9</v>
      </c>
      <c r="F131">
        <v>133.6</v>
      </c>
      <c r="G131" t="s">
        <v>30</v>
      </c>
      <c r="H131">
        <v>5.5</v>
      </c>
      <c r="I131">
        <v>5.5</v>
      </c>
      <c r="J131">
        <v>5.5</v>
      </c>
      <c r="K131">
        <v>5.5</v>
      </c>
      <c r="L131">
        <v>60</v>
      </c>
      <c r="P131">
        <v>4.2342978122794639</v>
      </c>
      <c r="Q131">
        <v>1.5120274914089293</v>
      </c>
      <c r="R131">
        <v>1.4094432699083947</v>
      </c>
      <c r="S131">
        <v>1.4809590973201558</v>
      </c>
      <c r="T131">
        <v>3.0864197530864113</v>
      </c>
      <c r="U131">
        <v>1.1055389221556886</v>
      </c>
      <c r="V131">
        <v>1.0770958083832336</v>
      </c>
      <c r="W131">
        <v>4.2342978122794639</v>
      </c>
      <c r="X131">
        <v>1.5120274914089293</v>
      </c>
      <c r="Y131">
        <v>1.4094432699083947</v>
      </c>
      <c r="Z131">
        <v>1.4809590973201558</v>
      </c>
      <c r="AA131">
        <v>1.1055389221556886</v>
      </c>
      <c r="AB131">
        <v>1.0770958083832336</v>
      </c>
      <c r="AC131">
        <v>-1.5272547688129023</v>
      </c>
      <c r="AD131" t="str">
        <f>tbl_mart[[#This Row],[boligtype_code]]&amp;"|"&amp;tbl_mart[[#This Row],[quarter]]</f>
        <v>0|2024Q2</v>
      </c>
      <c r="AE131" s="9">
        <f>INT(YEAR(tbl_mart[[#This Row],[quarter_start]])/10)*10</f>
        <v>2020</v>
      </c>
    </row>
    <row r="132" spans="1:31" x14ac:dyDescent="0.2">
      <c r="A132">
        <v>0</v>
      </c>
      <c r="B132" t="s">
        <v>160</v>
      </c>
      <c r="C132" s="1">
        <v>45474</v>
      </c>
      <c r="D132">
        <v>145.9</v>
      </c>
      <c r="E132">
        <v>145.19999999999999</v>
      </c>
      <c r="F132">
        <v>133.6</v>
      </c>
      <c r="G132" t="s">
        <v>30</v>
      </c>
      <c r="H132">
        <v>5.5</v>
      </c>
      <c r="I132">
        <v>5.5</v>
      </c>
      <c r="J132">
        <v>5.5</v>
      </c>
      <c r="K132">
        <v>5.5</v>
      </c>
      <c r="L132">
        <v>66</v>
      </c>
      <c r="P132">
        <v>-1.2186865267433844</v>
      </c>
      <c r="Q132">
        <v>3.2554847841472112</v>
      </c>
      <c r="R132">
        <v>0.90340514246003423</v>
      </c>
      <c r="S132">
        <v>3.2716927453769529</v>
      </c>
      <c r="T132">
        <v>3.0864197530864113</v>
      </c>
      <c r="U132">
        <v>1.0920658682634732</v>
      </c>
      <c r="V132">
        <v>1.0868263473053892</v>
      </c>
      <c r="W132">
        <v>-1.2186865267433844</v>
      </c>
      <c r="X132">
        <v>3.2554847841472112</v>
      </c>
      <c r="Y132">
        <v>0.90340514246003423</v>
      </c>
      <c r="Z132">
        <v>3.2716927453769529</v>
      </c>
      <c r="AA132">
        <v>1.0920658682634732</v>
      </c>
      <c r="AB132">
        <v>1.0868263473053892</v>
      </c>
      <c r="AC132">
        <v>0.16400320378351374</v>
      </c>
      <c r="AD132" t="str">
        <f>tbl_mart[[#This Row],[boligtype_code]]&amp;"|"&amp;tbl_mart[[#This Row],[quarter]]</f>
        <v>0|2024Q3</v>
      </c>
      <c r="AE132" s="9">
        <f>INT(YEAR(tbl_mart[[#This Row],[quarter_start]])/10)*10</f>
        <v>2020</v>
      </c>
    </row>
    <row r="133" spans="1:31" x14ac:dyDescent="0.2">
      <c r="A133">
        <v>0</v>
      </c>
      <c r="B133" t="s">
        <v>161</v>
      </c>
      <c r="C133" s="1">
        <v>45566</v>
      </c>
      <c r="D133">
        <v>143</v>
      </c>
      <c r="E133">
        <v>147.30000000000001</v>
      </c>
      <c r="F133">
        <v>133.6</v>
      </c>
      <c r="G133" t="s">
        <v>30</v>
      </c>
      <c r="H133">
        <v>5.5</v>
      </c>
      <c r="I133">
        <v>5.5</v>
      </c>
      <c r="J133">
        <v>5.5</v>
      </c>
      <c r="K133">
        <v>5.5</v>
      </c>
      <c r="L133">
        <v>63</v>
      </c>
      <c r="P133">
        <v>-1.9876627827278948</v>
      </c>
      <c r="Q133">
        <v>4.8387096774193505</v>
      </c>
      <c r="R133">
        <v>1.4462809917355601</v>
      </c>
      <c r="S133">
        <v>4.8398576512455493</v>
      </c>
      <c r="T133">
        <v>3.0864197530864113</v>
      </c>
      <c r="U133">
        <v>1.0703592814371259</v>
      </c>
      <c r="V133">
        <v>1.102544910179641</v>
      </c>
      <c r="W133">
        <v>-1.9876627827278948</v>
      </c>
      <c r="X133">
        <v>4.8387096774193505</v>
      </c>
      <c r="Y133">
        <v>1.4462809917355601</v>
      </c>
      <c r="Z133">
        <v>4.8398576512455493</v>
      </c>
      <c r="AA133">
        <v>1.0703592814371259</v>
      </c>
      <c r="AB133">
        <v>1.102544910179641</v>
      </c>
      <c r="AC133">
        <v>1.6998261541433468</v>
      </c>
      <c r="AD133" t="str">
        <f>tbl_mart[[#This Row],[boligtype_code]]&amp;"|"&amp;tbl_mart[[#This Row],[quarter]]</f>
        <v>0|2024Q4</v>
      </c>
      <c r="AE133" s="9">
        <f>INT(YEAR(tbl_mart[[#This Row],[quarter_start]])/10)*10</f>
        <v>2020</v>
      </c>
    </row>
    <row r="134" spans="1:31" x14ac:dyDescent="0.2">
      <c r="A134">
        <v>0</v>
      </c>
      <c r="B134" t="s">
        <v>162</v>
      </c>
      <c r="C134" s="1">
        <v>45658</v>
      </c>
      <c r="D134">
        <v>150.9</v>
      </c>
      <c r="E134">
        <v>151.1</v>
      </c>
      <c r="G134" t="s">
        <v>30</v>
      </c>
      <c r="H134">
        <v>5.5</v>
      </c>
      <c r="I134">
        <v>5.5</v>
      </c>
      <c r="J134">
        <v>5.5</v>
      </c>
      <c r="K134">
        <v>5.5</v>
      </c>
      <c r="L134">
        <v>63</v>
      </c>
      <c r="P134">
        <v>5.524475524475525</v>
      </c>
      <c r="Q134">
        <v>6.4925899788285335</v>
      </c>
      <c r="R134">
        <v>2.5797691785471644</v>
      </c>
      <c r="S134">
        <v>6.4834390415785759</v>
      </c>
      <c r="T134">
        <v>0</v>
      </c>
      <c r="W134">
        <v>5.524475524475525</v>
      </c>
      <c r="X134">
        <v>6.4925899788285335</v>
      </c>
      <c r="Y134">
        <v>2.5797691785471644</v>
      </c>
      <c r="Z134">
        <v>6.4834390415785759</v>
      </c>
      <c r="AD134" t="str">
        <f>tbl_mart[[#This Row],[boligtype_code]]&amp;"|"&amp;tbl_mart[[#This Row],[quarter]]</f>
        <v>0|2025Q1</v>
      </c>
      <c r="AE134" s="9">
        <f>INT(YEAR(tbl_mart[[#This Row],[quarter_start]])/10)*10</f>
        <v>2020</v>
      </c>
    </row>
    <row r="135" spans="1:31" x14ac:dyDescent="0.2">
      <c r="A135">
        <v>0</v>
      </c>
      <c r="B135" t="s">
        <v>163</v>
      </c>
      <c r="C135" s="1">
        <v>45748</v>
      </c>
      <c r="D135">
        <v>154.4</v>
      </c>
      <c r="E135">
        <v>150.5</v>
      </c>
      <c r="G135" t="s">
        <v>30</v>
      </c>
      <c r="H135">
        <v>5.4703389830508478</v>
      </c>
      <c r="I135">
        <v>5.25</v>
      </c>
      <c r="J135">
        <v>5.25</v>
      </c>
      <c r="K135">
        <v>5.5</v>
      </c>
      <c r="L135">
        <v>59</v>
      </c>
      <c r="M135">
        <v>1</v>
      </c>
      <c r="N135">
        <v>-0.25</v>
      </c>
      <c r="O135">
        <v>0.25</v>
      </c>
      <c r="P135">
        <v>2.3194168323392939</v>
      </c>
      <c r="Q135">
        <v>4.5362220717671153</v>
      </c>
      <c r="R135">
        <v>-0.397088021178027</v>
      </c>
      <c r="S135">
        <v>4.5865184155663652</v>
      </c>
      <c r="T135">
        <v>0</v>
      </c>
      <c r="W135">
        <v>2.3194168323392939</v>
      </c>
      <c r="X135">
        <v>4.5362220717671153</v>
      </c>
      <c r="Y135">
        <v>-0.397088021178027</v>
      </c>
      <c r="Z135">
        <v>4.5865184155663652</v>
      </c>
      <c r="AD135" t="str">
        <f>tbl_mart[[#This Row],[boligtype_code]]&amp;"|"&amp;tbl_mart[[#This Row],[quarter]]</f>
        <v>0|2025Q2</v>
      </c>
      <c r="AE135" s="9">
        <f>INT(YEAR(tbl_mart[[#This Row],[quarter_start]])/10)*10</f>
        <v>2020</v>
      </c>
    </row>
    <row r="136" spans="1:31" x14ac:dyDescent="0.2">
      <c r="A136">
        <v>0</v>
      </c>
      <c r="B136" t="s">
        <v>164</v>
      </c>
      <c r="C136" s="1">
        <v>45839</v>
      </c>
      <c r="D136">
        <v>153.19999999999999</v>
      </c>
      <c r="E136">
        <v>152.5</v>
      </c>
      <c r="G136" t="s">
        <v>30</v>
      </c>
      <c r="H136">
        <v>5.2196969696969697</v>
      </c>
      <c r="I136">
        <v>5</v>
      </c>
      <c r="J136">
        <v>5</v>
      </c>
      <c r="K136">
        <v>5.25</v>
      </c>
      <c r="L136">
        <v>66</v>
      </c>
      <c r="M136">
        <v>1</v>
      </c>
      <c r="N136">
        <v>-0.25</v>
      </c>
      <c r="O136">
        <v>0.25</v>
      </c>
      <c r="P136">
        <v>-0.77720207253887397</v>
      </c>
      <c r="Q136">
        <v>5.0034270047977891</v>
      </c>
      <c r="R136">
        <v>1.3289036544850585</v>
      </c>
      <c r="S136">
        <v>5.0275482093663948</v>
      </c>
      <c r="T136">
        <v>0</v>
      </c>
      <c r="W136">
        <v>-0.77720207253887397</v>
      </c>
      <c r="X136">
        <v>5.0034270047977891</v>
      </c>
      <c r="Y136">
        <v>1.3289036544850585</v>
      </c>
      <c r="Z136">
        <v>5.0275482093663948</v>
      </c>
      <c r="AD136" t="str">
        <f>tbl_mart[[#This Row],[boligtype_code]]&amp;"|"&amp;tbl_mart[[#This Row],[quarter]]</f>
        <v>0|2025Q3</v>
      </c>
      <c r="AE136" s="9">
        <f>INT(YEAR(tbl_mart[[#This Row],[quarter_start]])/10)*10</f>
        <v>2020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666D3-71A3-4C44-A644-48732FA644A9}">
  <dimension ref="A1:B16"/>
  <sheetViews>
    <sheetView topLeftCell="A2" zoomScale="140" zoomScaleNormal="140" workbookViewId="0">
      <selection activeCell="B17" sqref="A3:B17"/>
    </sheetView>
  </sheetViews>
  <sheetFormatPr baseColWidth="10" defaultRowHeight="16" x14ac:dyDescent="0.2"/>
  <cols>
    <col min="1" max="1" width="34.5" bestFit="1" customWidth="1"/>
  </cols>
  <sheetData>
    <row r="1" spans="1:2" ht="17" x14ac:dyDescent="0.25">
      <c r="A1" s="4" t="s">
        <v>194</v>
      </c>
      <c r="B1" t="s">
        <v>195</v>
      </c>
    </row>
    <row r="3" spans="1:2" x14ac:dyDescent="0.2">
      <c r="A3" t="s">
        <v>196</v>
      </c>
      <c r="B3">
        <f>ROWS(tbl_mart[key_boligtype_quarter])</f>
        <v>135</v>
      </c>
    </row>
    <row r="4" spans="1:2" x14ac:dyDescent="0.2">
      <c r="A4" t="s">
        <v>197</v>
      </c>
      <c r="B4">
        <f>COLUMNS(tbl_mart[#Headers])</f>
        <v>31</v>
      </c>
    </row>
    <row r="6" spans="1:2" x14ac:dyDescent="0.2">
      <c r="A6" t="s">
        <v>198</v>
      </c>
      <c r="B6">
        <f>ROWS(tbl_mart[key_boligtype_quarter]) - COUNTA(_xlfn.UNIQUE(tbl_mart[key_boligtype_quarter]))</f>
        <v>0</v>
      </c>
    </row>
    <row r="8" spans="1:2" x14ac:dyDescent="0.2">
      <c r="A8" t="s">
        <v>199</v>
      </c>
      <c r="B8">
        <f>COUNTBLANK(tbl_mart[quarter_start])</f>
        <v>0</v>
      </c>
    </row>
    <row r="9" spans="1:2" x14ac:dyDescent="0.2">
      <c r="A9" t="s">
        <v>200</v>
      </c>
      <c r="B9">
        <f>COUNTBLANK(tbl_mart[hpi_index])</f>
        <v>0</v>
      </c>
    </row>
    <row r="10" spans="1:2" x14ac:dyDescent="0.2">
      <c r="A10" t="s">
        <v>201</v>
      </c>
      <c r="B10">
        <f>COUNTBLANK(tbl_mart[cpi_index])</f>
        <v>3</v>
      </c>
    </row>
    <row r="12" spans="1:2" x14ac:dyDescent="0.2">
      <c r="A12" t="s">
        <v>202</v>
      </c>
      <c r="B12" s="1">
        <f>MIN(tbl_mart[quarter_start])</f>
        <v>33604</v>
      </c>
    </row>
    <row r="13" spans="1:2" x14ac:dyDescent="0.2">
      <c r="A13" t="s">
        <v>203</v>
      </c>
      <c r="B13" s="1">
        <f>MAX(tbl_mart[quarter_start])</f>
        <v>45839</v>
      </c>
    </row>
    <row r="14" spans="1:2" x14ac:dyDescent="0.2">
      <c r="A14" t="s">
        <v>204</v>
      </c>
      <c r="B14">
        <f>COUNTA(_xlfn.UNIQUE(tbl_mart[quarter]))</f>
        <v>135</v>
      </c>
    </row>
    <row r="16" spans="1:2" x14ac:dyDescent="0.2">
      <c r="A16" t="s">
        <v>205</v>
      </c>
      <c r="B16" t="str">
        <f>_xlfn.XLOOKUP(B13, tbl_mart[quarter_start], tbl_mart[quarter], "", 0)</f>
        <v>2025Q3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EAC50-7CDC-DC42-BD88-DAC4303573B9}">
  <dimension ref="A1:J13"/>
  <sheetViews>
    <sheetView zoomScale="130" zoomScaleNormal="130" workbookViewId="0">
      <selection activeCell="E3" sqref="E3"/>
    </sheetView>
  </sheetViews>
  <sheetFormatPr baseColWidth="10" defaultRowHeight="16" x14ac:dyDescent="0.2"/>
  <cols>
    <col min="1" max="1" width="14.1640625" bestFit="1" customWidth="1"/>
    <col min="2" max="2" width="6.1640625" bestFit="1" customWidth="1"/>
    <col min="3" max="4" width="12.6640625" bestFit="1" customWidth="1"/>
    <col min="5" max="6" width="13.33203125" bestFit="1" customWidth="1"/>
    <col min="7" max="7" width="12.6640625" bestFit="1" customWidth="1"/>
    <col min="8" max="9" width="13.83203125" bestFit="1" customWidth="1"/>
    <col min="10" max="10" width="12.6640625" bestFit="1" customWidth="1"/>
  </cols>
  <sheetData>
    <row r="1" spans="1:10" x14ac:dyDescent="0.2">
      <c r="A1" t="s">
        <v>206</v>
      </c>
      <c r="B1" t="s">
        <v>207</v>
      </c>
    </row>
    <row r="2" spans="1:10" x14ac:dyDescent="0.2">
      <c r="A2" t="s">
        <v>22</v>
      </c>
    </row>
    <row r="3" spans="1:10" x14ac:dyDescent="0.2">
      <c r="A3" t="s">
        <v>23</v>
      </c>
    </row>
    <row r="4" spans="1:10" x14ac:dyDescent="0.2">
      <c r="A4" t="s">
        <v>7</v>
      </c>
    </row>
    <row r="5" spans="1:10" x14ac:dyDescent="0.2">
      <c r="A5" t="s">
        <v>8</v>
      </c>
    </row>
    <row r="7" spans="1:10" x14ac:dyDescent="0.2">
      <c r="A7" t="s">
        <v>206</v>
      </c>
      <c r="B7" t="s">
        <v>208</v>
      </c>
      <c r="C7" t="s">
        <v>209</v>
      </c>
      <c r="D7" t="s">
        <v>210</v>
      </c>
      <c r="E7" t="s">
        <v>211</v>
      </c>
      <c r="F7" t="s">
        <v>214</v>
      </c>
      <c r="G7" t="s">
        <v>212</v>
      </c>
      <c r="H7" t="s">
        <v>215</v>
      </c>
      <c r="I7" t="s">
        <v>213</v>
      </c>
      <c r="J7" t="s">
        <v>216</v>
      </c>
    </row>
    <row r="8" spans="1:10" x14ac:dyDescent="0.2">
      <c r="A8" t="s">
        <v>22</v>
      </c>
      <c r="B8">
        <f>COUNT(tbl_mart[hpi_qoq_pct])</f>
        <v>134</v>
      </c>
      <c r="C8" s="2">
        <f>AVERAGE(tbl_mart[hpi_qoq_pct])</f>
        <v>1.6161200209094781</v>
      </c>
      <c r="D8" s="2">
        <f>_xlfn.STDEV.S(tbl_mart[hpi_qoq_pct])</f>
        <v>2.7904634486881394</v>
      </c>
      <c r="E8" s="2">
        <f>MIN(tbl_mart[hpi_qoq_pct])</f>
        <v>-7.0402298850574585</v>
      </c>
      <c r="F8" s="2">
        <f>_xlfn.QUARTILE.INC(tbl_mart[hpi_qoq_pct],1)</f>
        <v>-0.33119389210504724</v>
      </c>
      <c r="G8" s="2">
        <f>MEDIAN(tbl_mart[hpi_qoq_pct])</f>
        <v>1.8504910191627144</v>
      </c>
      <c r="H8" s="2">
        <f>_xlfn.QUARTILE.INC(tbl_mart[hpi_qoq_pct],3)</f>
        <v>3.7508422818311016</v>
      </c>
      <c r="I8" s="2">
        <f>MAX(tbl_mart[hpi_qoq_pct])</f>
        <v>8.0996884735202492</v>
      </c>
      <c r="J8" s="2">
        <f>IFERROR(D8/C8,"")</f>
        <v>1.7266436976121333</v>
      </c>
    </row>
    <row r="9" spans="1:10" x14ac:dyDescent="0.2">
      <c r="A9" t="s">
        <v>23</v>
      </c>
      <c r="B9">
        <f>COUNT(tbl_mart[hpi_yoy_pct])</f>
        <v>131</v>
      </c>
      <c r="C9" s="2">
        <f>AVERAGE(tbl_mart[hpi_yoy_pct])</f>
        <v>6.671532910331849</v>
      </c>
      <c r="D9" s="2">
        <f>_xlfn.STDEV.S(tbl_mart[hpi_yoy_pct])</f>
        <v>5.0382898734077299</v>
      </c>
      <c r="E9" s="2">
        <f>MIN(tbl_mart[hpi_yoy_pct])</f>
        <v>-6.9064748201438819</v>
      </c>
      <c r="F9" s="2">
        <f>_xlfn.QUARTILE.INC(tbl_mart[hpi_yoy_pct],1)</f>
        <v>2.9937068745208295</v>
      </c>
      <c r="G9" s="2">
        <f>MEDIAN(tbl_mart[hpi_yoy_pct])</f>
        <v>6.8674698795180733</v>
      </c>
      <c r="H9" s="2">
        <f>_xlfn.QUARTILE.INC(tbl_mart[hpi_yoy_pct],3)</f>
        <v>10.04540867810293</v>
      </c>
      <c r="I9" s="2">
        <f>MAX(tbl_mart[hpi_yoy_pct])</f>
        <v>21.183800623052939</v>
      </c>
      <c r="J9" s="2">
        <f>IFERROR(D9/C9,"")</f>
        <v>0.75519223859410145</v>
      </c>
    </row>
    <row r="10" spans="1:10" x14ac:dyDescent="0.2">
      <c r="A10" t="s">
        <v>7</v>
      </c>
      <c r="B10">
        <f>COUNT(tbl_mart[policy_rate_avg])</f>
        <v>135</v>
      </c>
      <c r="C10" s="2">
        <f>AVERAGE(tbl_mart[policy_rate_avg])</f>
        <v>4.7541439024557901</v>
      </c>
      <c r="D10" s="2">
        <f>_xlfn.STDEV.S(tbl_mart[policy_rate_avg])</f>
        <v>2.693457035687592</v>
      </c>
      <c r="E10">
        <f>MIN(tbl_mart[policy_rate_avg])</f>
        <v>1</v>
      </c>
      <c r="F10">
        <f>_xlfn.QUARTILE.INC(tbl_mart[policy_rate_avg],1)</f>
        <v>2.5</v>
      </c>
      <c r="G10" s="2">
        <f>MEDIAN(tbl_mart[policy_rate_avg])</f>
        <v>4.475806451612903</v>
      </c>
      <c r="H10">
        <f>_xlfn.QUARTILE.INC(tbl_mart[policy_rate_avg],3)</f>
        <v>6.75</v>
      </c>
      <c r="I10" s="2">
        <f>MAX(tbl_mart[policy_rate_avg])</f>
        <v>12.71551724137931</v>
      </c>
      <c r="J10" s="2">
        <f>IFERROR(D10/C10,"")</f>
        <v>0.56654932853342233</v>
      </c>
    </row>
    <row r="11" spans="1:10" x14ac:dyDescent="0.2">
      <c r="A11" t="s">
        <v>8</v>
      </c>
      <c r="B11">
        <f>COUNT(tbl_mart[policy_rate_end])</f>
        <v>135</v>
      </c>
      <c r="C11" s="2">
        <f>AVERAGE(tbl_mart[policy_rate_end])</f>
        <v>4.7240740740740739</v>
      </c>
      <c r="D11" s="2">
        <f>_xlfn.STDEV.S(tbl_mart[policy_rate_end])</f>
        <v>2.6588128021468798</v>
      </c>
      <c r="E11">
        <f>MIN(tbl_mart[policy_rate_end])</f>
        <v>1</v>
      </c>
      <c r="F11">
        <f>_xlfn.QUARTILE.INC(tbl_mart[policy_rate_end],1)</f>
        <v>2.5</v>
      </c>
      <c r="G11">
        <f>MEDIAN(tbl_mart[policy_rate_end])</f>
        <v>4.5</v>
      </c>
      <c r="H11">
        <f>_xlfn.QUARTILE.INC(tbl_mart[policy_rate_end],3)</f>
        <v>6.75</v>
      </c>
      <c r="I11">
        <f>MAX(tbl_mart[policy_rate_end])</f>
        <v>11</v>
      </c>
      <c r="J11" s="2">
        <f>IFERROR(D11/C11,"")</f>
        <v>0.56282199653442377</v>
      </c>
    </row>
    <row r="13" spans="1:10" x14ac:dyDescent="0.2">
      <c r="A13" t="s">
        <v>217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4A704-C78C-C54A-ADF4-40E2B5D1C365}">
  <dimension ref="A4:Q42"/>
  <sheetViews>
    <sheetView topLeftCell="A2" workbookViewId="0">
      <selection activeCell="C20" sqref="C20"/>
    </sheetView>
  </sheetViews>
  <sheetFormatPr baseColWidth="10" defaultRowHeight="16" x14ac:dyDescent="0.2"/>
  <cols>
    <col min="1" max="1" width="13.33203125" bestFit="1" customWidth="1"/>
    <col min="2" max="2" width="18" bestFit="1" customWidth="1"/>
    <col min="3" max="3" width="20.83203125" bestFit="1" customWidth="1"/>
    <col min="6" max="6" width="13.33203125" bestFit="1" customWidth="1"/>
    <col min="7" max="7" width="19.83203125" bestFit="1" customWidth="1"/>
    <col min="8" max="8" width="20.1640625" bestFit="1" customWidth="1"/>
    <col min="11" max="11" width="13" bestFit="1" customWidth="1"/>
    <col min="12" max="12" width="19.33203125" bestFit="1" customWidth="1"/>
    <col min="15" max="15" width="13" bestFit="1" customWidth="1"/>
    <col min="16" max="16" width="19.33203125" bestFit="1" customWidth="1"/>
    <col min="17" max="17" width="19" bestFit="1" customWidth="1"/>
  </cols>
  <sheetData>
    <row r="4" spans="1:17" x14ac:dyDescent="0.2">
      <c r="A4" s="7" t="s">
        <v>257</v>
      </c>
      <c r="B4" s="8" t="s">
        <v>261</v>
      </c>
      <c r="F4" s="7" t="s">
        <v>258</v>
      </c>
      <c r="G4" s="8" t="s">
        <v>262</v>
      </c>
      <c r="K4" s="7" t="s">
        <v>265</v>
      </c>
      <c r="L4" s="8" t="s">
        <v>263</v>
      </c>
      <c r="O4" s="7" t="s">
        <v>266</v>
      </c>
    </row>
    <row r="5" spans="1:17" x14ac:dyDescent="0.2">
      <c r="A5" s="5" t="s">
        <v>0</v>
      </c>
      <c r="B5" t="s">
        <v>255</v>
      </c>
      <c r="F5" s="5" t="s">
        <v>0</v>
      </c>
      <c r="G5" t="s">
        <v>255</v>
      </c>
    </row>
    <row r="7" spans="1:17" x14ac:dyDescent="0.2">
      <c r="A7" s="5" t="s">
        <v>218</v>
      </c>
      <c r="B7" t="s">
        <v>254</v>
      </c>
      <c r="C7" t="s">
        <v>256</v>
      </c>
      <c r="F7" s="5" t="s">
        <v>218</v>
      </c>
      <c r="G7" t="s">
        <v>259</v>
      </c>
      <c r="H7" t="s">
        <v>260</v>
      </c>
      <c r="K7" s="5" t="s">
        <v>218</v>
      </c>
      <c r="L7" t="s">
        <v>264</v>
      </c>
      <c r="O7" s="5" t="s">
        <v>218</v>
      </c>
      <c r="P7" t="s">
        <v>264</v>
      </c>
      <c r="Q7" t="s">
        <v>268</v>
      </c>
    </row>
    <row r="8" spans="1:17" x14ac:dyDescent="0.2">
      <c r="A8" s="6" t="s">
        <v>220</v>
      </c>
      <c r="B8" s="11">
        <v>18.8</v>
      </c>
      <c r="C8" s="11"/>
      <c r="F8" s="6" t="s">
        <v>220</v>
      </c>
      <c r="G8" s="11"/>
      <c r="H8" s="11">
        <v>-0.52352117488362326</v>
      </c>
      <c r="K8" s="6">
        <v>0</v>
      </c>
      <c r="L8" s="11">
        <v>2.7904634486881394</v>
      </c>
      <c r="O8" s="12">
        <v>1990</v>
      </c>
      <c r="P8" s="11">
        <v>2.7519055783753137</v>
      </c>
      <c r="Q8" s="11">
        <v>4.9391511072046317</v>
      </c>
    </row>
    <row r="9" spans="1:17" x14ac:dyDescent="0.2">
      <c r="A9" s="6" t="s">
        <v>221</v>
      </c>
      <c r="B9" s="11">
        <v>18.975000000000001</v>
      </c>
      <c r="C9" s="11"/>
      <c r="F9" s="6" t="s">
        <v>221</v>
      </c>
      <c r="G9" s="11">
        <v>0.95900531790789034</v>
      </c>
      <c r="H9" s="11">
        <v>2.0271237511682889</v>
      </c>
      <c r="K9" s="6" t="s">
        <v>219</v>
      </c>
      <c r="L9" s="11">
        <v>2.7904634486881394</v>
      </c>
      <c r="O9" s="12">
        <v>2000</v>
      </c>
      <c r="P9" s="11">
        <v>3.0831313807972971</v>
      </c>
      <c r="Q9" s="11">
        <v>6.3461620131274135</v>
      </c>
    </row>
    <row r="10" spans="1:17" x14ac:dyDescent="0.2">
      <c r="A10" s="6" t="s">
        <v>222</v>
      </c>
      <c r="B10" s="11">
        <v>21.475000000000001</v>
      </c>
      <c r="C10" s="11"/>
      <c r="F10" s="6" t="s">
        <v>222</v>
      </c>
      <c r="G10" s="11">
        <v>13.25421170226671</v>
      </c>
      <c r="H10" s="11">
        <v>2.4263539225771042</v>
      </c>
      <c r="O10" s="12">
        <v>2010</v>
      </c>
      <c r="P10" s="11">
        <v>2.3107886002054405</v>
      </c>
      <c r="Q10" s="11">
        <v>2.9785941661876527</v>
      </c>
    </row>
    <row r="11" spans="1:17" x14ac:dyDescent="0.2">
      <c r="A11" s="6" t="s">
        <v>223</v>
      </c>
      <c r="B11" s="11">
        <v>23.05</v>
      </c>
      <c r="C11" s="11"/>
      <c r="F11" s="6" t="s">
        <v>223</v>
      </c>
      <c r="G11" s="11">
        <v>7.3454362760608181</v>
      </c>
      <c r="H11" s="11">
        <v>1.8870313403561434</v>
      </c>
      <c r="O11" s="12">
        <v>2020</v>
      </c>
      <c r="P11" s="11">
        <v>3.076492781717048</v>
      </c>
      <c r="Q11" s="11">
        <v>3.789274461594077</v>
      </c>
    </row>
    <row r="12" spans="1:17" x14ac:dyDescent="0.2">
      <c r="A12" s="6" t="s">
        <v>224</v>
      </c>
      <c r="B12" s="11">
        <v>25.125</v>
      </c>
      <c r="C12" s="11"/>
      <c r="F12" s="6" t="s">
        <v>224</v>
      </c>
      <c r="G12" s="11">
        <v>8.9853474517108847</v>
      </c>
      <c r="H12" s="11">
        <v>2.4498333733154301</v>
      </c>
      <c r="O12" s="12" t="s">
        <v>219</v>
      </c>
      <c r="P12" s="11">
        <v>2.7904634486881394</v>
      </c>
      <c r="Q12" s="11">
        <v>5.0382898734077299</v>
      </c>
    </row>
    <row r="13" spans="1:17" x14ac:dyDescent="0.2">
      <c r="A13" s="6" t="s">
        <v>225</v>
      </c>
      <c r="B13" s="11">
        <v>28.125</v>
      </c>
      <c r="C13" s="11"/>
      <c r="F13" s="6" t="s">
        <v>225</v>
      </c>
      <c r="G13" s="11">
        <v>11.936658736018817</v>
      </c>
      <c r="H13" s="11">
        <v>2.7013012803193019</v>
      </c>
    </row>
    <row r="14" spans="1:17" x14ac:dyDescent="0.2">
      <c r="A14" s="6" t="s">
        <v>226</v>
      </c>
      <c r="B14" s="11">
        <v>31.25</v>
      </c>
      <c r="C14" s="11"/>
      <c r="F14" s="6" t="s">
        <v>226</v>
      </c>
      <c r="G14" s="11">
        <v>11.182742122942535</v>
      </c>
      <c r="H14" s="11">
        <v>1.6661384111154891</v>
      </c>
    </row>
    <row r="15" spans="1:17" x14ac:dyDescent="0.2">
      <c r="A15" s="6" t="s">
        <v>227</v>
      </c>
      <c r="B15" s="11">
        <v>34.725000000000009</v>
      </c>
      <c r="C15" s="11"/>
      <c r="F15" s="6" t="s">
        <v>227</v>
      </c>
      <c r="G15" s="11">
        <v>11.120515114048763</v>
      </c>
      <c r="H15" s="11">
        <v>4.4181977674036306</v>
      </c>
    </row>
    <row r="16" spans="1:17" x14ac:dyDescent="0.2">
      <c r="A16" s="6" t="s">
        <v>228</v>
      </c>
      <c r="B16" s="11">
        <v>40.25</v>
      </c>
      <c r="C16" s="11"/>
      <c r="F16" s="6" t="s">
        <v>228</v>
      </c>
      <c r="G16" s="11">
        <v>16.107853656144517</v>
      </c>
      <c r="H16" s="11">
        <v>2.4466971927271071</v>
      </c>
    </row>
    <row r="17" spans="1:8" x14ac:dyDescent="0.2">
      <c r="A17" s="6" t="s">
        <v>229</v>
      </c>
      <c r="B17" s="11">
        <v>43.024999999999999</v>
      </c>
      <c r="C17" s="11"/>
      <c r="F17" s="6" t="s">
        <v>229</v>
      </c>
      <c r="G17" s="11">
        <v>6.9124937238988933</v>
      </c>
      <c r="H17" s="11">
        <v>1.8901517786369864</v>
      </c>
    </row>
    <row r="18" spans="1:8" x14ac:dyDescent="0.2">
      <c r="A18" s="6" t="s">
        <v>230</v>
      </c>
      <c r="B18" s="11">
        <v>45.174999999999997</v>
      </c>
      <c r="C18" s="11"/>
      <c r="F18" s="6" t="s">
        <v>230</v>
      </c>
      <c r="G18" s="11">
        <v>5.0210217968958633</v>
      </c>
      <c r="H18" s="11">
        <v>0.72408123867258867</v>
      </c>
    </row>
    <row r="19" spans="1:8" x14ac:dyDescent="0.2">
      <c r="A19" s="6" t="s">
        <v>231</v>
      </c>
      <c r="B19" s="11">
        <v>45.925000000000004</v>
      </c>
      <c r="C19" s="11"/>
      <c r="F19" s="6" t="s">
        <v>231</v>
      </c>
      <c r="G19" s="11">
        <v>1.6871142153160046</v>
      </c>
      <c r="H19" s="11">
        <v>0.99805648689620663</v>
      </c>
    </row>
    <row r="20" spans="1:8" x14ac:dyDescent="0.2">
      <c r="A20" s="6" t="s">
        <v>232</v>
      </c>
      <c r="B20" s="11">
        <v>50.600000000000009</v>
      </c>
      <c r="C20" s="11"/>
      <c r="F20" s="6" t="s">
        <v>232</v>
      </c>
      <c r="G20" s="11">
        <v>10.177303128957398</v>
      </c>
      <c r="H20" s="11">
        <v>2.5787680802171309</v>
      </c>
    </row>
    <row r="21" spans="1:8" x14ac:dyDescent="0.2">
      <c r="A21" s="6" t="s">
        <v>233</v>
      </c>
      <c r="B21" s="11">
        <v>54.774999999999999</v>
      </c>
      <c r="C21" s="11">
        <v>54.8</v>
      </c>
      <c r="F21" s="6" t="s">
        <v>233</v>
      </c>
      <c r="G21" s="11">
        <v>8.2473397674087732</v>
      </c>
      <c r="H21" s="11">
        <v>1.9533257069732746</v>
      </c>
    </row>
    <row r="22" spans="1:8" x14ac:dyDescent="0.2">
      <c r="A22" s="6" t="s">
        <v>234</v>
      </c>
      <c r="B22" s="11">
        <v>62.274999999999999</v>
      </c>
      <c r="C22" s="11">
        <v>62.274999999999999</v>
      </c>
      <c r="F22" s="6" t="s">
        <v>234</v>
      </c>
      <c r="G22" s="11">
        <v>13.659221136921445</v>
      </c>
      <c r="H22" s="11">
        <v>3.9328633253897851</v>
      </c>
    </row>
    <row r="23" spans="1:8" x14ac:dyDescent="0.2">
      <c r="A23" s="6" t="s">
        <v>235</v>
      </c>
      <c r="B23" s="11">
        <v>70.099999999999994</v>
      </c>
      <c r="C23" s="11">
        <v>70.099999999999994</v>
      </c>
      <c r="F23" s="6" t="s">
        <v>235</v>
      </c>
      <c r="G23" s="11">
        <v>12.676523101862857</v>
      </c>
      <c r="H23" s="11">
        <v>1.8978092180776702</v>
      </c>
    </row>
    <row r="24" spans="1:8" x14ac:dyDescent="0.2">
      <c r="A24" s="6" t="s">
        <v>236</v>
      </c>
      <c r="B24" s="11">
        <v>69.349999999999994</v>
      </c>
      <c r="C24" s="11">
        <v>69.325000000000003</v>
      </c>
      <c r="F24" s="6" t="s">
        <v>236</v>
      </c>
      <c r="G24" s="11">
        <v>-1.0620672717678636</v>
      </c>
      <c r="H24" s="11">
        <v>-1.7013955400498437</v>
      </c>
    </row>
    <row r="25" spans="1:8" x14ac:dyDescent="0.2">
      <c r="A25" s="6" t="s">
        <v>237</v>
      </c>
      <c r="B25" s="11">
        <v>70.674999999999997</v>
      </c>
      <c r="C25" s="11">
        <v>70.674999999999997</v>
      </c>
      <c r="F25" s="6" t="s">
        <v>237</v>
      </c>
      <c r="G25" s="11">
        <v>2.1489697991296239</v>
      </c>
      <c r="H25" s="11">
        <v>2.799888347635898</v>
      </c>
    </row>
    <row r="26" spans="1:8" x14ac:dyDescent="0.2">
      <c r="A26" s="6" t="s">
        <v>238</v>
      </c>
      <c r="B26" s="11">
        <v>76.474999999999994</v>
      </c>
      <c r="C26" s="11">
        <v>76.5</v>
      </c>
      <c r="F26" s="6" t="s">
        <v>238</v>
      </c>
      <c r="G26" s="11">
        <v>8.2520573373685231</v>
      </c>
      <c r="H26" s="11">
        <v>1.6076962334807043</v>
      </c>
    </row>
    <row r="27" spans="1:8" x14ac:dyDescent="0.2">
      <c r="A27" s="6" t="s">
        <v>239</v>
      </c>
      <c r="B27" s="11">
        <v>82.6</v>
      </c>
      <c r="C27" s="11">
        <v>82.600000000000009</v>
      </c>
      <c r="F27" s="6" t="s">
        <v>239</v>
      </c>
      <c r="G27" s="11">
        <v>8.0133623313377527</v>
      </c>
      <c r="H27" s="11">
        <v>1.95059041660455</v>
      </c>
    </row>
    <row r="28" spans="1:8" x14ac:dyDescent="0.2">
      <c r="A28" s="6" t="s">
        <v>240</v>
      </c>
      <c r="B28" s="11">
        <v>88.2</v>
      </c>
      <c r="C28" s="11">
        <v>88.174999999999997</v>
      </c>
      <c r="F28" s="6" t="s">
        <v>240</v>
      </c>
      <c r="G28" s="11">
        <v>6.7762738233204107</v>
      </c>
      <c r="H28" s="11">
        <v>1.6903605876690735</v>
      </c>
    </row>
    <row r="29" spans="1:8" x14ac:dyDescent="0.2">
      <c r="A29" s="6" t="s">
        <v>241</v>
      </c>
      <c r="B29" s="11">
        <v>91.75</v>
      </c>
      <c r="C29" s="11">
        <v>91.724999999999994</v>
      </c>
      <c r="F29" s="6" t="s">
        <v>241</v>
      </c>
      <c r="G29" s="11">
        <v>4.0431168688151278</v>
      </c>
      <c r="H29" s="11">
        <v>0.28695611492036976</v>
      </c>
    </row>
    <row r="30" spans="1:8" x14ac:dyDescent="0.2">
      <c r="A30" s="6" t="s">
        <v>242</v>
      </c>
      <c r="B30" s="11">
        <v>94.25</v>
      </c>
      <c r="C30" s="11">
        <v>94.275000000000006</v>
      </c>
      <c r="F30" s="6" t="s">
        <v>242</v>
      </c>
      <c r="G30" s="11">
        <v>2.7476837000316445</v>
      </c>
      <c r="H30" s="11">
        <v>1.4352317345670191</v>
      </c>
    </row>
    <row r="31" spans="1:8" x14ac:dyDescent="0.2">
      <c r="A31" s="6" t="s">
        <v>243</v>
      </c>
      <c r="B31" s="11">
        <v>100</v>
      </c>
      <c r="C31" s="11">
        <v>100</v>
      </c>
      <c r="F31" s="6" t="s">
        <v>243</v>
      </c>
      <c r="G31" s="11">
        <v>6.1092347197454888</v>
      </c>
      <c r="H31" s="11">
        <v>1.1437489697345122</v>
      </c>
    </row>
    <row r="32" spans="1:8" x14ac:dyDescent="0.2">
      <c r="A32" s="6" t="s">
        <v>244</v>
      </c>
      <c r="B32" s="11">
        <v>107.02500000000001</v>
      </c>
      <c r="C32" s="11">
        <v>107.07499999999999</v>
      </c>
      <c r="F32" s="6" t="s">
        <v>244</v>
      </c>
      <c r="G32" s="11">
        <v>7.0247097985535358</v>
      </c>
      <c r="H32" s="11">
        <v>2.445973857836897</v>
      </c>
    </row>
    <row r="33" spans="1:8" x14ac:dyDescent="0.2">
      <c r="A33" s="6" t="s">
        <v>245</v>
      </c>
      <c r="B33" s="11">
        <v>112.35</v>
      </c>
      <c r="C33" s="11">
        <v>112.375</v>
      </c>
      <c r="F33" s="6" t="s">
        <v>245</v>
      </c>
      <c r="G33" s="11">
        <v>5.0585569877131036</v>
      </c>
      <c r="H33" s="11">
        <v>0.21222203224720015</v>
      </c>
    </row>
    <row r="34" spans="1:8" x14ac:dyDescent="0.2">
      <c r="A34" s="6" t="s">
        <v>246</v>
      </c>
      <c r="B34" s="11">
        <v>113.97499999999999</v>
      </c>
      <c r="C34" s="11">
        <v>113.97499999999999</v>
      </c>
      <c r="F34" s="6" t="s">
        <v>246</v>
      </c>
      <c r="G34" s="11">
        <v>1.4564531766658284</v>
      </c>
      <c r="H34" s="11">
        <v>0.59419367331759465</v>
      </c>
    </row>
    <row r="35" spans="1:8" x14ac:dyDescent="0.2">
      <c r="A35" s="6" t="s">
        <v>247</v>
      </c>
      <c r="B35" s="11">
        <v>116.80000000000001</v>
      </c>
      <c r="C35" s="11">
        <v>116.82499999999999</v>
      </c>
      <c r="F35" s="6" t="s">
        <v>247</v>
      </c>
      <c r="G35" s="11">
        <v>2.4843791875199752</v>
      </c>
      <c r="H35" s="11">
        <v>0.6620506979971631</v>
      </c>
    </row>
    <row r="36" spans="1:8" x14ac:dyDescent="0.2">
      <c r="A36" s="6" t="s">
        <v>248</v>
      </c>
      <c r="B36" s="11">
        <v>121.77500000000001</v>
      </c>
      <c r="C36" s="11">
        <v>121.85</v>
      </c>
      <c r="F36" s="6" t="s">
        <v>248</v>
      </c>
      <c r="G36" s="11">
        <v>4.2678542841137812</v>
      </c>
      <c r="H36" s="11">
        <v>1.8423672725940921</v>
      </c>
    </row>
    <row r="37" spans="1:8" x14ac:dyDescent="0.2">
      <c r="A37" s="6" t="s">
        <v>249</v>
      </c>
      <c r="B37" s="11">
        <v>134.52500000000001</v>
      </c>
      <c r="C37" s="11">
        <v>134.57499999999999</v>
      </c>
      <c r="F37" s="6" t="s">
        <v>249</v>
      </c>
      <c r="G37" s="11">
        <v>10.486855644760224</v>
      </c>
      <c r="H37" s="11">
        <v>1.988424831721189</v>
      </c>
    </row>
    <row r="38" spans="1:8" x14ac:dyDescent="0.2">
      <c r="A38" s="6" t="s">
        <v>250</v>
      </c>
      <c r="B38" s="11">
        <v>141.57499999999999</v>
      </c>
      <c r="C38" s="11">
        <v>141.625</v>
      </c>
      <c r="F38" s="6" t="s">
        <v>250</v>
      </c>
      <c r="G38" s="11">
        <v>5.2478659020716805</v>
      </c>
      <c r="H38" s="11">
        <v>0.7149372111968173</v>
      </c>
    </row>
    <row r="39" spans="1:8" x14ac:dyDescent="0.2">
      <c r="A39" s="6" t="s">
        <v>251</v>
      </c>
      <c r="B39" s="11">
        <v>140.80000000000001</v>
      </c>
      <c r="C39" s="11">
        <v>140.80000000000001</v>
      </c>
      <c r="F39" s="6" t="s">
        <v>251</v>
      </c>
      <c r="G39" s="11">
        <v>-0.54857740503661268</v>
      </c>
      <c r="H39" s="11">
        <v>-0.13338505509358778</v>
      </c>
    </row>
    <row r="40" spans="1:8" x14ac:dyDescent="0.2">
      <c r="A40" s="6" t="s">
        <v>252</v>
      </c>
      <c r="B40" s="11">
        <v>144.57499999999999</v>
      </c>
      <c r="C40" s="11">
        <v>144.57499999999999</v>
      </c>
      <c r="F40" s="6" t="s">
        <v>252</v>
      </c>
      <c r="G40" s="11">
        <v>2.7051269168152983</v>
      </c>
      <c r="H40" s="11">
        <v>1.2283947503354762</v>
      </c>
    </row>
    <row r="41" spans="1:8" x14ac:dyDescent="0.2">
      <c r="A41" s="6" t="s">
        <v>253</v>
      </c>
      <c r="B41" s="11">
        <v>152.83333333333334</v>
      </c>
      <c r="C41" s="11">
        <v>151.36666666666667</v>
      </c>
      <c r="F41" s="6" t="s">
        <v>253</v>
      </c>
      <c r="G41" s="11">
        <v>5.3440796851311463</v>
      </c>
      <c r="H41" s="11">
        <v>2.3555634280919815</v>
      </c>
    </row>
    <row r="42" spans="1:8" x14ac:dyDescent="0.2">
      <c r="A42" s="6" t="s">
        <v>219</v>
      </c>
      <c r="B42" s="11">
        <v>75.110370370370376</v>
      </c>
      <c r="C42" s="11">
        <v>101.57349397590365</v>
      </c>
      <c r="F42" s="6" t="s">
        <v>219</v>
      </c>
      <c r="G42" s="11">
        <v>6.671532910331849</v>
      </c>
      <c r="H42" s="11">
        <v>1.6161200209094781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2538C-926E-C44B-A765-B12285A75288}">
  <dimension ref="A1"/>
  <sheetViews>
    <sheetView workbookViewId="0">
      <selection activeCell="X39" sqref="X39"/>
    </sheetView>
  </sheetViews>
  <sheetFormatPr baseColWidth="10" defaultRowHeight="16" x14ac:dyDescent="0.2"/>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9998D-6097-354B-80AE-FE3676FC0331}">
  <dimension ref="A1:L8"/>
  <sheetViews>
    <sheetView showGridLines="0" tabSelected="1" zoomScale="120" zoomScaleNormal="120" workbookViewId="0">
      <selection activeCell="S10" sqref="S10"/>
    </sheetView>
  </sheetViews>
  <sheetFormatPr baseColWidth="10" defaultRowHeight="16" x14ac:dyDescent="0.2"/>
  <cols>
    <col min="1" max="1" width="19" bestFit="1" customWidth="1"/>
    <col min="2" max="2" width="11.1640625" bestFit="1" customWidth="1"/>
    <col min="3" max="3" width="14" bestFit="1" customWidth="1"/>
    <col min="4" max="4" width="15.1640625" bestFit="1" customWidth="1"/>
    <col min="5" max="5" width="25.5" bestFit="1" customWidth="1"/>
    <col min="6" max="6" width="14.5" bestFit="1" customWidth="1"/>
    <col min="7" max="7" width="19.5" bestFit="1" customWidth="1"/>
    <col min="8" max="8" width="11.1640625" bestFit="1" customWidth="1"/>
    <col min="9" max="9" width="20.1640625" bestFit="1" customWidth="1"/>
  </cols>
  <sheetData>
    <row r="1" spans="1:12" x14ac:dyDescent="0.2">
      <c r="A1" s="13" t="s">
        <v>269</v>
      </c>
      <c r="B1" s="14">
        <f>MAX(tbl_mart[quarter_start])</f>
        <v>45839</v>
      </c>
    </row>
    <row r="2" spans="1:12" ht="17" thickBot="1" x14ac:dyDescent="0.25">
      <c r="A2" s="15" t="s">
        <v>270</v>
      </c>
      <c r="B2" s="16" t="str">
        <f>_xlfn.XLOOKUP($B$1, tbl_mart[quarter_start], tbl_mart[quarter], "", 0)</f>
        <v>2025Q3</v>
      </c>
    </row>
    <row r="4" spans="1:12" ht="29" x14ac:dyDescent="0.35">
      <c r="B4" s="19" t="s">
        <v>271</v>
      </c>
      <c r="C4" s="17"/>
      <c r="E4" s="19" t="s">
        <v>275</v>
      </c>
      <c r="F4" s="17"/>
      <c r="G4" s="19" t="s">
        <v>272</v>
      </c>
      <c r="H4" s="17"/>
      <c r="I4" s="19" t="s">
        <v>273</v>
      </c>
      <c r="J4" s="17"/>
      <c r="L4" s="19" t="s">
        <v>274</v>
      </c>
    </row>
    <row r="5" spans="1:12" ht="27" x14ac:dyDescent="0.35">
      <c r="B5" s="20">
        <f>_xlfn.XLOOKUP($B$1, tbl_mart[quarter_start], tbl_mart[hpi_index], "", 0)</f>
        <v>153.19999999999999</v>
      </c>
      <c r="C5" s="21"/>
      <c r="D5" s="21"/>
      <c r="E5" s="18">
        <f>_xlfn.XLOOKUP($B$1, tbl_mart[quarter_start], tbl_mart[hpi_yoy_pct], "", 0)</f>
        <v>5.0034270047977891</v>
      </c>
      <c r="F5" s="21"/>
      <c r="G5" s="18">
        <f>_xlfn.XLOOKUP($B$1, tbl_mart[quarter_start], tbl_mart[hpi_qoq_pct], "", 0)</f>
        <v>-0.77720207253887397</v>
      </c>
      <c r="H5" s="21"/>
      <c r="I5" s="22">
        <f>_xlfn.XLOOKUP($B$1, tbl_mart[quarter_start], tbl_mart[policy_rate_end], "", 0)</f>
        <v>5</v>
      </c>
      <c r="J5" s="21"/>
      <c r="K5" s="21"/>
      <c r="L5" s="21" t="str">
        <f>IF(ISNUMBER(_xlfn.XLOOKUP($B$1, tbl_mart[quarter_start], tbl_mart[cpi_index], "", 0)),"Available","Missing (real proxy N/A)")</f>
        <v>Missing (real proxy N/A)</v>
      </c>
    </row>
    <row r="8" spans="1:12" hidden="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8269BA-8059-724A-A5A7-8F1C5F5C56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Sheet1</vt:lpstr>
      <vt:lpstr>01_IMPORT</vt:lpstr>
      <vt:lpstr>02_CHECKS</vt:lpstr>
      <vt:lpstr>03_STATS</vt:lpstr>
      <vt:lpstr>04_PIVOTS</vt:lpstr>
      <vt:lpstr>05_Charts</vt:lpstr>
      <vt:lpstr>06_Dashboard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Babak Balouch</dc:creator>
  <cp:lastModifiedBy>Babak Balouch</cp:lastModifiedBy>
  <dcterms:created xsi:type="dcterms:W3CDTF">2025-12-17T14:30:13Z</dcterms:created>
  <dcterms:modified xsi:type="dcterms:W3CDTF">2025-12-19T14:15:35Z</dcterms:modified>
</cp:coreProperties>
</file>